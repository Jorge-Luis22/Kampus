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guntas" sheetId="1" state="visible" r:id="rId3"/>
    <sheet name="Apuestas" sheetId="2" state="visible" r:id="rId4"/>
    <sheet name="Ajustes" sheetId="3" state="visible" r:id="rId5"/>
    <sheet name="Resumen" sheetId="4" state="visible" r:id="rId6"/>
  </sheets>
  <definedNames>
    <definedName function="false" hidden="true" localSheetId="2" name="_xlnm._FilterDatabase" vbProcedure="false">Ajustes!$A$1:$D$21</definedName>
    <definedName function="false" hidden="false" localSheetId="0" name="_xlnm.Print_Titles" vbProcedure="false">Preguntas!$1:$1</definedName>
    <definedName function="false" hidden="true" localSheetId="0" name="_xlnm._FilterDatabase" vbProcedure="false">Preguntas!$A$1:$M$49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<sst xmlns="http://schemas.openxmlformats.org/spreadsheetml/2006/main" count="827" uniqueCount="501">
  <si>
    <t xml:space="preserve">Cód.</t>
  </si>
  <si>
    <t xml:space="preserve">Sección</t>
  </si>
  <si>
    <t xml:space="preserve">Acción</t>
  </si>
  <si>
    <t xml:space="preserve">Prioridad</t>
  </si>
  <si>
    <t xml:space="preserve">Pregunta como está hoy</t>
  </si>
  <si>
    <t xml:space="preserve">Pregunta mejorada</t>
  </si>
  <si>
    <t xml:space="preserve">Alternativas mejoradas</t>
  </si>
  <si>
    <t xml:space="preserve">Qué cambié y por qué</t>
  </si>
  <si>
    <t xml:space="preserve">Apuesta</t>
  </si>
  <si>
    <t xml:space="preserve">Para qué te sirve</t>
  </si>
  <si>
    <t xml:space="preserve">Cómo leer la respuesta</t>
  </si>
  <si>
    <t xml:space="preserve">Dónde va y a quién se muestra</t>
  </si>
  <si>
    <t xml:space="preserve">Obligatoria</t>
  </si>
  <si>
    <t xml:space="preserve">P1</t>
  </si>
  <si>
    <t xml:space="preserve">2. Sobre ti</t>
  </si>
  <si>
    <t xml:space="preserve">Cambiar</t>
  </si>
  <si>
    <t xml:space="preserve">Alta</t>
  </si>
  <si>
    <t xml:space="preserve">¿Qué carrera estudias?</t>
  </si>
  <si>
    <t xml:space="preserve">Lista desplegable con las carreras de la sede, más «Otra»</t>
  </si>
  <si>
    <t xml:space="preserve">El texto libre genera variantes de una misma carrera («Ing sistemas», «Sistemas») y obliga a limpiar los datos.</t>
  </si>
  <si>
    <t xml:space="preserve">Segmentar</t>
  </si>
  <si>
    <t xml:space="preserve">Cruzar todas las respuestas por carrera. También es la base de los grupos de carrera que Kampus crea solos.</t>
  </si>
  <si>
    <t xml:space="preserve">Con pocas respuestas, agrupar por facultad (por ejemplo Ingeniería y Salud) en vez de por carrera.</t>
  </si>
  <si>
    <t xml:space="preserve">Todos</t>
  </si>
  <si>
    <t xml:space="preserve">Sí</t>
  </si>
  <si>
    <t xml:space="preserve">P2</t>
  </si>
  <si>
    <t xml:space="preserve">Mantener</t>
  </si>
  <si>
    <t xml:space="preserve">¿En qué ciclo estás?</t>
  </si>
  <si>
    <t xml:space="preserve">1 / 2 / 3 / 4 / 5 / 6 / 7 / 8 / 9 / 10 (opción única)</t>
  </si>
  <si>
    <t xml:space="preserve">Sin cambios. Debe ser de opción única porque decide las ramificaciones.</t>
  </si>
  <si>
    <t xml:space="preserve">Separa a los cachimbos de los ciclos superiores, que es la comparación más importante del estudio. Decide quién ve las preguntas de ayuda entre ciclos.</t>
  </si>
  <si>
    <t xml:space="preserve">Agrupar en ciclos 1 a 3, 4 a 6 y 7 a 10. Meta: unas 30 respuestas por grupo para poder comparar.</t>
  </si>
  <si>
    <t xml:space="preserve">P3</t>
  </si>
  <si>
    <t xml:space="preserve">Quitar</t>
  </si>
  <si>
    <t xml:space="preserve">Baja</t>
  </si>
  <si>
    <t xml:space="preserve">¿Qué edad tienes?</t>
  </si>
  <si>
    <t xml:space="preserve">—</t>
  </si>
  <si>
    <t xml:space="preserve">Si la dejas: 17 a 19 / 20 a 22 / 23 a 25 / 26 o más</t>
  </si>
  <si>
    <t xml:space="preserve">Ninguna apuesta la usa. Junto con carrera y ciclo puede identificar a alguien, y el formulario promete anonimato.</t>
  </si>
  <si>
    <t xml:space="preserve">Ninguna</t>
  </si>
  <si>
    <t xml:space="preserve">Solo sirve si quieres validar la edad como filtro de encuestas, como hace la app. Si no, quitarla.</t>
  </si>
  <si>
    <t xml:space="preserve">P4</t>
  </si>
  <si>
    <t xml:space="preserve">3. Tu red en la universidad</t>
  </si>
  <si>
    <t xml:space="preserve">Sin contar a los de tu salón actual, ¿a cuántos alumnos de la UTP conoces por su nombre?</t>
  </si>
  <si>
    <t xml:space="preserve">Sin contar a los de tu salón actual, ¿a cuántos alumnos de la UTP conoces por su nombre? (solo escribe el número)</t>
  </si>
  <si>
    <t xml:space="preserve">Número entero entre 0 y 1000 (activar la validación de número en Google Forms)</t>
  </si>
  <si>
    <t xml:space="preserve">Hoy acepta respuestas como «unos 50» o «muchos». Con validación solo entra un número.</t>
  </si>
  <si>
    <t xml:space="preserve">H1</t>
  </si>
  <si>
    <t xml:space="preserve">Mide qué tan grande es la red del alumno fuera de su salón. Es el punto de partida del problema que Kampus quiere resolver.</t>
  </si>
  <si>
    <t xml:space="preserve">Usar la mediana y no el promedio: unas pocas personas muy conectadas inflan el promedio. Compararla por ciclo.</t>
  </si>
  <si>
    <t xml:space="preserve">P5</t>
  </si>
  <si>
    <t xml:space="preserve">De esos, ¿cuántos son de una carrera distinta a la tuya?</t>
  </si>
  <si>
    <t xml:space="preserve">Ninguno / Entre 1 y 3 / Entre 4 y 10 / Más de 10</t>
  </si>
  <si>
    <t xml:space="preserve">Sin cambios. Está bien construida.</t>
  </si>
  <si>
    <t xml:space="preserve">Prueba directamente que el alumno casi no conoce gente de otras carreras. Decide si el buscador entre carreras puede ser el argumento central.</t>
  </si>
  <si>
    <t xml:space="preserve">Se sostiene si en ciclos 1 a 3 la mayoría marca «Ninguno» o «Entre 1 y 3». Se debilita si más de 4 de cada 10 marcan 4 o más.</t>
  </si>
  <si>
    <t xml:space="preserve">P6</t>
  </si>
  <si>
    <t xml:space="preserve">Media</t>
  </si>
  <si>
    <t xml:space="preserve">¿Cuándo fue la última vez que conociste a alguien nuevo en la universidad?</t>
  </si>
  <si>
    <t xml:space="preserve">Esta semana / Este mes / Este ciclo / El ciclo pasado o antes / Nunca he conocido a nadie nuevo / No recuerdo</t>
  </si>
  <si>
    <t xml:space="preserve">Se agrega «Nunca he conocido a nadie nuevo». Hoy quien aún no lo hizo cae en «No recuerdo» y se confunde con quien lo olvidó.</t>
  </si>
  <si>
    <t xml:space="preserve">Mide con qué frecuencia el alumno conoce gente nueva sin que nadie lo organice. Si es muy poca, hay espacio para una red que lo facilite.</t>
  </si>
  <si>
    <t xml:space="preserve">Si la mayoría responde «Este ciclo» o más antiguo, conocer gente es poco frecuente y no solo difícil.</t>
  </si>
  <si>
    <t xml:space="preserve">P7</t>
  </si>
  <si>
    <t xml:space="preserve">¿Cómo lo conociste?</t>
  </si>
  <si>
    <t xml:space="preserve">Por un amigo en común / Éramos del mismo salón / En un trabajo en grupo / En un taller, evento o club / Discord / WhatsApp / Instagram / Telegram / LinkedIn / Otros</t>
  </si>
  <si>
    <t xml:space="preserve">Se agregan las vías que Kampus quiere aprovechar (taller, evento o club, y trabajo en grupo). «Amigo» y «Mismo salón» se solapaban. Se corrigen «Whatssap» y «Linkedlin».</t>
  </si>
  <si>
    <t xml:space="preserve">Muestra por dónde conoce gente hoy el alumno y si los eventos o clubes ya funcionan como puerta de entrada.</t>
  </si>
  <si>
    <t xml:space="preserve">Si casi todo es «mismo salón» o «amigo en común», la red no cruza carreras por sí sola.</t>
  </si>
  <si>
    <t xml:space="preserve">Solo quien en P6 no marcó «Nunca» ni «No recuerdo»</t>
  </si>
  <si>
    <t xml:space="preserve">No</t>
  </si>
  <si>
    <t xml:space="preserve">P8</t>
  </si>
  <si>
    <t xml:space="preserve">¿Qué pasa hoy con tus grupos de WhatsApp de ciclos anteriores?</t>
  </si>
  <si>
    <t xml:space="preserve">Siguen activos y escribo en ellos / Existen pero casi nadie escribe / Los tengo silenciados / Me salí de ellos / Los borré / Nunca tuve grupos / Solo mandan spam / Todavía no tengo ciclos anteriores / Otros</t>
  </si>
  <si>
    <t xml:space="preserve">Se agrega «Todavía no tengo ciclos anteriores» para el ciclo 1 y se separa «Nunca tuve grupos» de «Los borré», que iban juntas en una sola opción.</t>
  </si>
  <si>
    <t xml:space="preserve">H5</t>
  </si>
  <si>
    <t xml:space="preserve">Muestra cómo se apagan los grupos de WhatsApp que hoy hacen el trabajo que Kampus quiere hacer. Decide si el flujo de comunidades resuelve algo real.</t>
  </si>
  <si>
    <t xml:space="preserve">Se sostiene si la mayoría los tiene silenciados, inactivos o los dejó. Se debilita si casi todos siguen activos.</t>
  </si>
  <si>
    <t xml:space="preserve">P9</t>
  </si>
  <si>
    <t xml:space="preserve">4. Trabajos académicos y encuestas</t>
  </si>
  <si>
    <t xml:space="preserve">¿En cuántos trabajos académicos has necesitado encuestar o entrevistar gente?</t>
  </si>
  <si>
    <t xml:space="preserve">Ninguno / 1 / 2 / 3 / 4 / 5 / 6 / 7 / 8 / 9 / 10 / Más de 10</t>
  </si>
  <si>
    <t xml:space="preserve">Se agrega ramificación: quien marca «Ninguno» salta P10 a P12. Hoy responde preguntas sobre algo que nunca hizo y llena la data de respuestas inventadas, justo entre los cachimbos.</t>
  </si>
  <si>
    <t xml:space="preserve">H2</t>
  </si>
  <si>
    <t xml:space="preserve">Separa a quienes conocen el problema de quienes no. Dice cuántos alumnos necesitan encuestados, que es lo que alimenta el intercambio de encuestas.</t>
  </si>
  <si>
    <t xml:space="preserve">Mirar la proporción de «Ninguno» por ciclo. Quien marca 1 o más es quien responde P10 a P12.</t>
  </si>
  <si>
    <t xml:space="preserve">P10</t>
  </si>
  <si>
    <t xml:space="preserve">Cuando necesitaste encuestados, ¿cómo los conseguiste?</t>
  </si>
  <si>
    <t xml:space="preserve">Cuando necesitaste encuestados, ¿cómo los conseguiste? (marca todas las que apliquen)</t>
  </si>
  <si>
    <t xml:space="preserve">Amigos y familia / Mis compañeros de salón / WhatsApp / Instagram / Facebook / LinkedIn / Abordé gente en el campus / Un profesor me ayudó / Alumnos de otra carrera o ciclo que ya conocía / No los conseguí / Otros</t>
  </si>
  <si>
    <t xml:space="preserve">Se agregan «Alumnos de otra carrera o ciclo que ya conocía» (lo que Kampus facilita) y «No los conseguí». Se corrige «Linkedlin».</t>
  </si>
  <si>
    <t xml:space="preserve">Muestra qué hacen hoy para conseguir respuestas y cuánto dependen de su círculo cercano.</t>
  </si>
  <si>
    <t xml:space="preserve">Si casi todos marcan amigos, familia y compañeros de salón, el alcance está limitado a su círculo, que es justo el problema.</t>
  </si>
  <si>
    <t xml:space="preserve">Solo quien en P9 no marcó «Ninguno»</t>
  </si>
  <si>
    <t xml:space="preserve">P11</t>
  </si>
  <si>
    <t xml:space="preserve">¿Conseguiste el número de respuestas que necesitabas?</t>
  </si>
  <si>
    <t xml:space="preserve">Sí, sin problema / Sí, pero me costó mucho / No, entregué con menos de las que pedían / Sí, pero tuve que inventar datos. Seguimiento (texto largo, opcional, para quien no marcó la primera): ¿Qué hiciste cuando no llegabas al número?</t>
  </si>
  <si>
    <t xml:space="preserve">Se corrige «Si,pero» y se agrega el seguimiento del Mom Test (preguntar lo que hizo). Las opciones ya eran sinceras, incluida la de inventar datos.</t>
  </si>
  <si>
    <t xml:space="preserve">Da el número local de cuántos alumnos tienen dificultad real para conseguir respuestas, dato que hoy solo existe de Puerto Rico. Es la base para decir que el intercambio de encuestas resuelve algo real.</t>
  </si>
  <si>
    <t xml:space="preserve">Se sostiene si más de la mitad de quienes encuestaron dicen que costó mucho, entregaron con menos o inventaron datos. Se debilita si son menos de 3 de cada 10.</t>
  </si>
  <si>
    <t xml:space="preserve">P12</t>
  </si>
  <si>
    <t xml:space="preserve">¿Alguna vez necesitaste encuestar a un perfil específico que no tenías cerca?</t>
  </si>
  <si>
    <t xml:space="preserve">La última vez que hiciste una encuesta o entrevista para un trabajo, ¿necesitabas a un perfil específico que no tenías cerca (otra carrera, otro ciclo, otra edad)?</t>
  </si>
  <si>
    <t xml:space="preserve">Sí / No / No recuerdo. Seguimiento abierto si marcó «Sí»: ¿Qué perfil necesitabas y qué hiciste?</t>
  </si>
  <si>
    <t xml:space="preserve">«Alguna vez» invita a responder que sí. Se pasa a la última vez y se agrega el seguimiento abierto, que vale más que el Sí.</t>
  </si>
  <si>
    <t xml:space="preserve">Prueba el filtro de encuestas por carrera, ciclo y edad. Si casi nadie necesita perfiles específicos, ese filtro pesa menos de lo que crees.</t>
  </si>
  <si>
    <t xml:space="preserve">Leer las respuestas abiertas: qué perfiles piden y cuántos terminan sin conseguirlos.</t>
  </si>
  <si>
    <t xml:space="preserve">P13</t>
  </si>
  <si>
    <t xml:space="preserve">¿Cuántas encuestas de otros alumnos has respondido este ciclo?</t>
  </si>
  <si>
    <t xml:space="preserve">Ninguna / 1 / 2 / 3 / 4 / 5 / 6 / 7 / 8 / 9 / 10 / Más de 10</t>
  </si>
  <si>
    <t xml:space="preserve">Falta la opción 10: el salto iba de 9 a «Más de 10».</t>
  </si>
  <si>
    <t xml:space="preserve">H3</t>
  </si>
  <si>
    <t xml:space="preserve">Mide cuánto responde hoy un alumno a otros alumnos. La meta del piloto es una tasa de respuesta mayor a 35%; esto dice si es realista.</t>
  </si>
  <si>
    <t xml:space="preserve">Cruzar con el ciclo (P2): muestra si los ciclos superiores responden más o menos que los cachimbos.</t>
  </si>
  <si>
    <t xml:space="preserve">Todos (también quien nunca encuestó)</t>
  </si>
  <si>
    <t xml:space="preserve">P14</t>
  </si>
  <si>
    <t xml:space="preserve">¿Qué hace que respondas la encuesta de otro alumno?</t>
  </si>
  <si>
    <t xml:space="preserve">La última encuesta de otro alumno que respondiste, ¿por qué la respondiste?</t>
  </si>
  <si>
    <t xml:space="preserve">Me la pidió un amigo / El tema me interesaba / Era corta / Me daban algo a cambio / Era anónima / Era de mi carrera / Por ayudar, sin más / Otro motivo</t>
  </si>
  <si>
    <t xml:space="preserve">Pasa de pregunta general a la última vez, con opción única para que elija el motivo principal. En casillas múltiples, «Casi nunca respondo» no excluía a las demás.</t>
  </si>
  <si>
    <t xml:space="preserve">Dice qué mueve a responder: favor, tema o recompensa. Decide cómo se reparte el alcance de las encuestas y qué se da a cambio.</t>
  </si>
  <si>
    <t xml:space="preserve">Se sostiene si «tema» y «recompensa» suman la mayoría. Se debilita si la mayoría responde por favor a un amigo, porque eso no escala.</t>
  </si>
  <si>
    <t xml:space="preserve">Solo quien en P13 no marcó «Ninguna»</t>
  </si>
  <si>
    <t xml:space="preserve">P15</t>
  </si>
  <si>
    <t xml:space="preserve">5. Tu correo UTP</t>
  </si>
  <si>
    <t xml:space="preserve">¿Cuándo abriste tu correo outlook UTP por última vez?</t>
  </si>
  <si>
    <t xml:space="preserve">¿Cuándo abriste tu correo Outlook UTP por última vez?</t>
  </si>
  <si>
    <t xml:space="preserve">Hoy / Esta semana / Este mes / Hace más de un mes / No recuerdo</t>
  </si>
  <si>
    <t xml:space="preserve">Solo se escribe «Outlook» con mayúscula.</t>
  </si>
  <si>
    <t xml:space="preserve">H4</t>
  </si>
  <si>
    <t xml:space="preserve">Conducta pasada y verificable: dice si el correo de la UTP es un canal vivo para enterarse de cosas.</t>
  </si>
  <si>
    <t xml:space="preserve">Si la mayoría lo abre hace más de un mes, no sirve para avisar de eventos ni de programas.</t>
  </si>
  <si>
    <t xml:space="preserve">P16</t>
  </si>
  <si>
    <t xml:space="preserve">¿Cuántos correos sin leer tienes ahora mismo en tu correo UTP?</t>
  </si>
  <si>
    <t xml:space="preserve">Entre 0 y 10 / Entre 11 y 50 / Entre 51 y 200 / Más de 200 / No sé</t>
  </si>
  <si>
    <t xml:space="preserve">Sin cambios. La instrucción de abrir el correo antes de responder da un dato difícil de discutir.</t>
  </si>
  <si>
    <t xml:space="preserve">Es el mejor indicador de que el correo no funciona como canal: nadie lee lo que no cabe en una bandeja saturada.</t>
  </si>
  <si>
    <t xml:space="preserve">Se sostiene si muchos tienen más de 50 sin leer. Leerla junto con P17.</t>
  </si>
  <si>
    <t xml:space="preserve">P17</t>
  </si>
  <si>
    <t xml:space="preserve">¿Qué haces cuando llega un correo de la UTP que no es de un curso?</t>
  </si>
  <si>
    <t xml:space="preserve">Lo leo completo / Lo veo por encima / Lo ignoro / Ni me entero de que llegó</t>
  </si>
  <si>
    <t xml:space="preserve">Sin cambios. «Lo leo completo» tiene sesgo de querer quedar bien, por eso se lee junto con P16.</t>
  </si>
  <si>
    <t xml:space="preserve">Complementa P16: dice qué hace con los avisos que sí le llegan.</t>
  </si>
  <si>
    <t xml:space="preserve">Quien tiene más de 200 sin leer y dice que lee todo se contradice: confiar más en P16.</t>
  </si>
  <si>
    <t xml:space="preserve">P18</t>
  </si>
  <si>
    <t xml:space="preserve">Nombra los programas de empleabilidad, becas o intercambio de la UTP que recuerdes (No vale buscarlos)</t>
  </si>
  <si>
    <t xml:space="preserve">Nombra los programas de empleabilidad, becas o intercambio de la UTP que recuerdes. No vale buscarlos.</t>
  </si>
  <si>
    <t xml:space="preserve">Texto breve</t>
  </si>
  <si>
    <t xml:space="preserve">Sin cambios. Es la mejor pregunta del formulario porque mide recuerdo espontáneo. Debe quedar antes de cualquier pregunta que mencione esos programas (N6).</t>
  </si>
  <si>
    <t xml:space="preserve">Dice cuánto conoce el alumno lo que la UTP ya ofrece. Si casi nadie nombra programas, hay un problema de comunicación que Kampus puede resolver y un argumento para venderle a la universidad.</t>
  </si>
  <si>
    <t xml:space="preserve">Contar cuántos nombran Impulsa o Generación Top y cuántos escriben «ninguno».</t>
  </si>
  <si>
    <t xml:space="preserve">P19</t>
  </si>
  <si>
    <t xml:space="preserve">¿Alguna vez te perdiste algo de la universidad que te hubiera interesado, por enterarte tarde?</t>
  </si>
  <si>
    <t xml:space="preserve">Sí / No / No sé</t>
  </si>
  <si>
    <t xml:space="preserve">Sin cambios. Es cerrada y sugiere la respuesta, pero se sostiene porque P20 pide el caso concreto.</t>
  </si>
  <si>
    <t xml:space="preserve">Cuantifica la oportunidad perdida por no enterarse a tiempo.</t>
  </si>
  <si>
    <t xml:space="preserve">Valen más las respuestas de P20 que el porcentaje de «Sí».</t>
  </si>
  <si>
    <t xml:space="preserve">P20</t>
  </si>
  <si>
    <t xml:space="preserve">¿Que fue lo que te perdiste?</t>
  </si>
  <si>
    <t xml:space="preserve">¿Qué fue lo que te perdiste?</t>
  </si>
  <si>
    <t xml:space="preserve">Texto largo</t>
  </si>
  <si>
    <t xml:space="preserve">Se corrige «¿Qué» con tilde y se muestra solo a quien marcó «Sí» en P19.</t>
  </si>
  <si>
    <t xml:space="preserve">El caso concreto es la evidencia: qué se pierden y qué tipo de aviso les faltó.</t>
  </si>
  <si>
    <t xml:space="preserve">Codificar en categorías: evento, beca, práctica, concurso o trámite.</t>
  </si>
  <si>
    <t xml:space="preserve">Solo quien en P19 marcó «Sí»</t>
  </si>
  <si>
    <t xml:space="preserve">P21</t>
  </si>
  <si>
    <t xml:space="preserve">6. Eventos y comunidades</t>
  </si>
  <si>
    <t xml:space="preserve">¿Perteneces a algún grupo, club o comunidad?</t>
  </si>
  <si>
    <t xml:space="preserve">Sí, a uno / Sí, a más de uno / Lo intenté pero no supe cómo entrar / No, pero me gustaría / No sé qué grupos hay / No, y no me interesa / No, no me alcanza el tiempo</t>
  </si>
  <si>
    <t xml:space="preserve">«No,desconozco» era ambigua: pasa a «No sé qué grupos hay», con la coma corregida.</t>
  </si>
  <si>
    <t xml:space="preserve">«Lo intenté pero no supe cómo entrar» es la señal de dolor más útil para el flujo de comunidades y eventos.</t>
  </si>
  <si>
    <t xml:space="preserve">Sumar «Lo intenté…», «No sé qué grupos hay» y «No, pero me gustaría»: es la demanda que hoy nadie atiende.</t>
  </si>
  <si>
    <t xml:space="preserve">P22</t>
  </si>
  <si>
    <t xml:space="preserve">¿A cuántos eventos extra universitarios has ido este año?</t>
  </si>
  <si>
    <t xml:space="preserve">¿A cuántos eventos organizados por la UTP (charlas, talleres, ferias, concursos) has ido este año?</t>
  </si>
  <si>
    <t xml:space="preserve">Ninguno / 1 / 2 / 3 / 4 / 5 / Más de 5</t>
  </si>
  <si>
    <t xml:space="preserve">«Extra universitarios» se entendía como eventos fuera de la UTP o como actividades extracurriculares. El flujo de comunidades espeja los talleres de la UTP: preguntar por esos y, si interesa, preguntar aparte por los externos.</t>
  </si>
  <si>
    <t xml:space="preserve">Mide cuánto participa el alumno en lo que la UTP ya organiza. Si es poco, hay un problema de difusión o de interés.</t>
  </si>
  <si>
    <t xml:space="preserve">Cruzar con P24: ¿se enteran por el correo o por otras vías?</t>
  </si>
  <si>
    <t xml:space="preserve">P23</t>
  </si>
  <si>
    <t xml:space="preserve">¿Que eventos eran?</t>
  </si>
  <si>
    <t xml:space="preserve">¿Qué eventos eran? Di todos los que recuerdes.</t>
  </si>
  <si>
    <t xml:space="preserve">Se corrige «¿Qué» con tilde y se muestra solo a quien en P22 no marcó «Ninguno».</t>
  </si>
  <si>
    <t xml:space="preserve">Recuerdo espontáneo de eventos: muestra qué difunde bien la UTP.</t>
  </si>
  <si>
    <t xml:space="preserve">Contar los eventos que se repiten: esos son los que sí se enteran.</t>
  </si>
  <si>
    <t xml:space="preserve">Solo quien en P22 no marcó «Ninguno»</t>
  </si>
  <si>
    <t xml:space="preserve">P24</t>
  </si>
  <si>
    <t xml:space="preserve">¿Cómo te enteraste del último evento al que fuiste?</t>
  </si>
  <si>
    <t xml:space="preserve">Correo de la UTP / Un amigo me avisó / Instagram / Facebook / LinkedIn / WhatsApp / Un grupo o club del que soy parte / Un afiche o pantalla en el campus / Un profesor lo mencionó en clase / Otros / No he ido a ninguno</t>
  </si>
  <si>
    <t xml:space="preserve">Se agregan «Un grupo o club del que soy parte» y «Otros». Se corrigen «Whatssap» y «Linkedlin».</t>
  </si>
  <si>
    <t xml:space="preserve">Dice por qué canal se enteran de verdad de los eventos. Si el correo casi no aparece, Kampus puede ser el aviso.</t>
  </si>
  <si>
    <t xml:space="preserve">Comparar el porcentaje de «Correo de la UTP» frente a «Un amigo me avisó».</t>
  </si>
  <si>
    <t xml:space="preserve">P25</t>
  </si>
  <si>
    <t xml:space="preserve">7. Qué usas hoy</t>
  </si>
  <si>
    <t xml:space="preserve">Si hoy necesitas contactar a alguien de la UTP que no conoces, ¿qué haces?</t>
  </si>
  <si>
    <t xml:space="preserve">La última vez que necesitaste contactar a alguien de la UTP que no conocías, ¿qué hiciste? (marca todas las que apliquen)</t>
  </si>
  <si>
    <t xml:space="preserve">Le pedí a un amigo que me presente / Lo busqué en Instagram / Escribí en un grupo de WhatsApp / Le escribí al correo institucional / Lo busqué en Facebook / Fui a buscarlo al campus / No me ha pasado / Otros</t>
  </si>
  <si>
    <t xml:space="preserve">Era hipotética («si hoy necesitas»). Pasa a la última vez y se agregan «Fui a buscarlo al campus» y «No me ha pasado».</t>
  </si>
  <si>
    <t xml:space="preserve">H6</t>
  </si>
  <si>
    <t xml:space="preserve">Muestra cómo contacta hoy a un desconocido de la UTP. Decide si la solicitud de mensaje con aceptación reemplaza algo que ya hacen.</t>
  </si>
  <si>
    <t xml:space="preserve">Si casi todos piden que un amigo los presente, hoy no pueden llegar a desconocidos.</t>
  </si>
  <si>
    <t xml:space="preserve">P26</t>
  </si>
  <si>
    <t xml:space="preserve">¿Has usado Discord?</t>
  </si>
  <si>
    <t xml:space="preserve">Solo aporta si consideras Discord una alternativa real a Kampus. P7 ya muestra si alguien conoció gente allí y N11 da el número de uso.</t>
  </si>
  <si>
    <t xml:space="preserve">Competencia posible. Si no cambia ninguna decisión, no vale los segundos que le quita a cada alumno.</t>
  </si>
  <si>
    <t xml:space="preserve">P27</t>
  </si>
  <si>
    <t xml:space="preserve">Si ya no lo usas, porqué ya no lo usas?</t>
  </si>
  <si>
    <t xml:space="preserve">Va con P26. Si P26 se queda, corregir «¿Por qué ya no lo usas?» y los signos.</t>
  </si>
  <si>
    <t xml:space="preserve">Solo tiene sentido si P26 se queda.</t>
  </si>
  <si>
    <t xml:space="preserve">P28</t>
  </si>
  <si>
    <t xml:space="preserve">¿Tienes LinkedIn?</t>
  </si>
  <si>
    <t xml:space="preserve">Sí, y entro seguido / Sí, pero casi nunca entro / No tengo / No sé qué es</t>
  </si>
  <si>
    <t xml:space="preserve">Sin cambios. Es autorreporte; el valor está en P29.</t>
  </si>
  <si>
    <t xml:space="preserve">H7</t>
  </si>
  <si>
    <t xml:space="preserve">LinkedIn es lo más cercano al perfil verificado de habilidades. Dice si el alumno ya muestra algo más que su promedio en algún lugar.</t>
  </si>
  <si>
    <t xml:space="preserve">Se compara con el 6% de peruanos que usa LinkedIn (Ipsos): si los alumnos están muy por encima, ya hay un hábito; si no, el perfil parte de cero.</t>
  </si>
  <si>
    <t xml:space="preserve">P29</t>
  </si>
  <si>
    <t xml:space="preserve">Si no lo usas, porqué no lo usas?</t>
  </si>
  <si>
    <t xml:space="preserve">Si no lo usas, ¿por qué no lo usas?</t>
  </si>
  <si>
    <t xml:space="preserve">Se corrige «¿Por qué» y se muestra solo a quien marcó «Sí, pero casi nunca entro», «No tengo» o «No sé qué es».</t>
  </si>
  <si>
    <t xml:space="preserve">Muestra qué le falta a LinkedIn para un estudiante de pregrado: es el hueco que podría llenar el flujo de perfil.</t>
  </si>
  <si>
    <t xml:space="preserve">Codificar en categorías: no lo necesito, no sé usarlo, no tengo qué mostrar, otro.</t>
  </si>
  <si>
    <t xml:space="preserve">Solo quien en P28 no marcó «Sí, y entro seguido»</t>
  </si>
  <si>
    <t xml:space="preserve">P30</t>
  </si>
  <si>
    <t xml:space="preserve">8. Una última cosa</t>
  </si>
  <si>
    <t xml:space="preserve">Si pudieras arreglar una sola cosa de cómo te conectas con otros alumnos de la UTP, ¿cuál sería?</t>
  </si>
  <si>
    <t xml:space="preserve">Sin cambios. Es hipotética, pero después de tantas preguntas de conducta el sesgo es menor. Debe ir antes de N8, para que el ranking no la influya.</t>
  </si>
  <si>
    <t xml:space="preserve">Prioridad de flujos</t>
  </si>
  <si>
    <t xml:space="preserve">Cierre abierto: el alumno dice su problema con sus palabras, sin que lo guíes. Es la mejor prueba de si tu proyecto apunta al dolor que él mismo nombra.</t>
  </si>
  <si>
    <t xml:space="preserve">Codificar en 4 o 5 categorías y comparar con los flujos de Kampus: ¿cuántos nombran algo que Kampus resuelve?</t>
  </si>
  <si>
    <t xml:space="preserve">N1</t>
  </si>
  <si>
    <t xml:space="preserve">Agregar</t>
  </si>
  <si>
    <t xml:space="preserve">La última vez que tuviste una duda sobre tu carrera, un curso o un trámite y no sabías a quién preguntar, ¿qué hiciste?</t>
  </si>
  <si>
    <t xml:space="preserve">Le pregunté a un amigo / Escribí en el grupo de WhatsApp del salón / Le escribí al profesor / Consulté a la UTP (correo, ventanilla o Intranet) / Lo busqué en internet / Me quedé sin resolverlo / No me ha pasado / Otros. Seguimiento opcional (texto largo): ¿Cuál era la duda?</t>
  </si>
  <si>
    <t xml:space="preserve">Pregunta nueva. El formulario actual no mide cómo se resuelven las dudas, que es la base del flujo de orientación.</t>
  </si>
  <si>
    <t xml:space="preserve">Muestra cómo se resuelven hoy las dudas y cuántas se quedan sin respuesta. Dice si hay un hueco que un alumno mayor podría llenar.</t>
  </si>
  <si>
    <t xml:space="preserve">Si «Me quedé sin resolverlo» o «Lo busqué en internet» pesan entre cachimbos, la orientación entre ciclos tiene espacio.</t>
  </si>
  <si>
    <t xml:space="preserve">Todos. Va después de P8</t>
  </si>
  <si>
    <t xml:space="preserve">N2</t>
  </si>
  <si>
    <t xml:space="preserve">¿Cuándo fue la última vez que le pediste ayuda a un alumno de un ciclo mayor al tuyo?</t>
  </si>
  <si>
    <t xml:space="preserve">Esta semana / Este mes / Este ciclo / Nunca / No recuerdo. Seguimiento: ¿Lo conocías de antes? Era mi amigo / Lo conocía de vista / No lo conocía</t>
  </si>
  <si>
    <t xml:space="preserve">Pregunta nueva. Prueba la relación que Kampus quiere crear.</t>
  </si>
  <si>
    <t xml:space="preserve">Muestra si el cachimbo ya pide ayuda a mayores y si lo hace con desconocidos o solo con amigos.</t>
  </si>
  <si>
    <t xml:space="preserve">Si casi todas las ayudas vienen de amigos, el alumno no llega a desconocidos: ahí entra Kampus.</t>
  </si>
  <si>
    <t xml:space="preserve">Todos. Va después de N1</t>
  </si>
  <si>
    <t xml:space="preserve">N3</t>
  </si>
  <si>
    <t xml:space="preserve">Nueva: Ayuda entre ciclos</t>
  </si>
  <si>
    <t xml:space="preserve">Este ciclo, ¿cuántas veces te pidió ayuda un alumno de un ciclo menor al tuyo?</t>
  </si>
  <si>
    <t xml:space="preserve">Ninguna / 1 o 2 / 3 a 5 / Más de 5. Seguimiento: La última vez, ¿era tu amigo o alguien que no conocías? Mi amigo / Lo conocía de vista / No lo conocía</t>
  </si>
  <si>
    <t xml:space="preserve">Pregunta nueva. Es la única que prueba la apuesta más riesgosa del proyecto.</t>
  </si>
  <si>
    <t xml:space="preserve">Prueba que un alumno mayor ayuda a alguien que no conoce. Si casi nadie ayuda a desconocidos, el flujo de orientación necesita otro incentivo.</t>
  </si>
  <si>
    <t xml:space="preserve">Se sostiene si al menos 2 de cada 10 de ciclo 5 o más ayudaron este ciclo a alguien que no conocían. Se debilita si son menos de 1 de cada 10.</t>
  </si>
  <si>
    <t xml:space="preserve">Solo ciclo 5 o más (según P2). Sección nueva a la que se llega por ramificación</t>
  </si>
  <si>
    <t xml:space="preserve">N4</t>
  </si>
  <si>
    <t xml:space="preserve">¿Tienes que hacer tesis, trabajo de investigación o un proyecto con encuestas en los próximos dos ciclos?</t>
  </si>
  <si>
    <t xml:space="preserve">Sí, este ciclo / Sí, el próximo ciclo / Más adelante / No sé / No</t>
  </si>
  <si>
    <t xml:space="preserve">Pregunta nueva.</t>
  </si>
  <si>
    <t xml:space="preserve">Mide cuántos alumnos necesitan encuestados, la otra mitad del intercambio de encuestas.</t>
  </si>
  <si>
    <t xml:space="preserve">Si pocos tienen que encuestar pronto, el gancho de las encuestas atrae a menos gente de lo que esperas.</t>
  </si>
  <si>
    <t xml:space="preserve">Todos. Va antes de P9</t>
  </si>
  <si>
    <t xml:space="preserve">N5</t>
  </si>
  <si>
    <t xml:space="preserve">¿En qué sede estudias?</t>
  </si>
  <si>
    <t xml:space="preserve">Lista de sedes de la UTP (completar con las sedes reales y marcar la del piloto si ya está decidida)</t>
  </si>
  <si>
    <t xml:space="preserve">Pregunta nueva. La sede del piloto es una decisión abierta del proyecto.</t>
  </si>
  <si>
    <t xml:space="preserve">Muestra de dónde vienen las respuestas y dónde hay más alumnos con el problema, para decidir la sede del piloto.</t>
  </si>
  <si>
    <t xml:space="preserve">Sede, carrera y ciclo juntos pueden identificar a alguien: si hay pocas respuestas por sede, no publicar el cruce.</t>
  </si>
  <si>
    <t xml:space="preserve">Todos. Va después de P2</t>
  </si>
  <si>
    <t xml:space="preserve">N6</t>
  </si>
  <si>
    <t xml:space="preserve">¿Postulaste este año a Impulsa, Generación Top, una beca, una práctica u otro programa?</t>
  </si>
  <si>
    <t xml:space="preserve">Sí, a uno / Sí, a más de uno / No, pero quise y no pude / No sabía que existían / No me interesa. Seguimiento abierto para quien postuló: ¿Qué mostraste además de tu promedio?</t>
  </si>
  <si>
    <t xml:space="preserve">Pregunta nueva. Debe ir después de P18, porque nombrar los programas antes contaminaría esa pregunta.</t>
  </si>
  <si>
    <t xml:space="preserve">Prueba si el perfil verificado de habilidades hace falta: ¿el filtro por promedio deja fuera a alumnos que sí cumplen?</t>
  </si>
  <si>
    <t xml:space="preserve">Se sostiene si quienes postularon dicen que no pudieron mostrar más que el promedio. Se debilita si la mayoría ni postula ni lo quiere.</t>
  </si>
  <si>
    <t xml:space="preserve">Todos. Va después de P18</t>
  </si>
  <si>
    <t xml:space="preserve">N7</t>
  </si>
  <si>
    <t xml:space="preserve">En los últimos 12 meses, ¿dejaste de participar en un concurso, hackatón o proyecto por no tener equipo?</t>
  </si>
  <si>
    <t xml:space="preserve">Sí / No / No he querido participar en ninguno. Seguimiento abierto si marcó «Sí»: ¿Cuál?</t>
  </si>
  <si>
    <t xml:space="preserve">Pregunta nueva. Es la pregunta de la hipótesis central del proyecto.</t>
  </si>
  <si>
    <t xml:space="preserve">Central</t>
  </si>
  <si>
    <t xml:space="preserve">Comprueba si el alumno realmente pierde oportunidades por no armar equipo.</t>
  </si>
  <si>
    <t xml:space="preserve">Si menos de 2 de cada 10 dicen que sí, hay que replantear el ángulo del proyecto.</t>
  </si>
  <si>
    <t xml:space="preserve">Todos. Va en la sección 8</t>
  </si>
  <si>
    <t xml:space="preserve">N8</t>
  </si>
  <si>
    <t xml:space="preserve">Este ciclo, ¿qué te quitó más tiempo o ánimo? (elige máximo 2)</t>
  </si>
  <si>
    <t xml:space="preserve">Encontrar a alguien que me oriente en mi carrera / Conseguir encuestados para un trabajo / Enterarme de eventos, talleres o clubes / Conseguir prácticas, becas o programas / Conocer gente de otras carreras / Armar equipo para un concurso o trabajo / Resolver trámites / Ninguna de estas</t>
  </si>
  <si>
    <t xml:space="preserve">Pregunta nueva. «Elige máximo 2» obliga a priorizar; con casillas libres todos marcan todo.</t>
  </si>
  <si>
    <t xml:space="preserve">Dice qué dolor pesa más y, por lo tanto, qué flujo entra primero al piloto. Es la pregunta que más ayuda a decidir.</t>
  </si>
  <si>
    <t xml:space="preserve">Contar cuántas veces sale cada opción y cruzar con el ciclo. Lo que más se repite en cachimbos es el candidato a flujo principal.</t>
  </si>
  <si>
    <t xml:space="preserve">Todos. Va después de P30 para no influirla</t>
  </si>
  <si>
    <t xml:space="preserve">N9</t>
  </si>
  <si>
    <t xml:space="preserve">De lo que marcaste primero, cuéntame la última vez que te pasó.</t>
  </si>
  <si>
    <t xml:space="preserve">Texto largo, opcional</t>
  </si>
  <si>
    <t xml:space="preserve">Pregunta nueva. El caso concreto es la evidencia.</t>
  </si>
  <si>
    <t xml:space="preserve">Convierte el ranking en una historia real. Una anécdota concreta convence más que un porcentaje a la universidad o a un jurado.</t>
  </si>
  <si>
    <t xml:space="preserve">Codificar en categorías y citar 2 o 3 frases textuales sin datos que identifiquen.</t>
  </si>
  <si>
    <t xml:space="preserve">Todos. Va después de N8</t>
  </si>
  <si>
    <t xml:space="preserve">N10</t>
  </si>
  <si>
    <t xml:space="preserve">La última vez que ayudaste a un alumno de la UTP que no era tu amigo, ¿qué te llevó a hacerlo?</t>
  </si>
  <si>
    <t xml:space="preserve">Me lo pidió directamente / Quise ayudar sin más / Me servía para algo (CV, contactos, nota) / Me dieron algo a cambio / Nunca lo hice</t>
  </si>
  <si>
    <t xml:space="preserve">Dice si las estrellas y el reconocimiento importan o si basta con que se lo pidan.</t>
  </si>
  <si>
    <t xml:space="preserve">Si «me servía para algo» o «me dieron algo a cambio» pesan, el sistema de estrellas tiene sentido. Si domina «quise ayudar», el incentivo puede ser mínimo.</t>
  </si>
  <si>
    <t xml:space="preserve">Solo ciclo 5 o más, en la misma sección que N3</t>
  </si>
  <si>
    <t xml:space="preserve">N11</t>
  </si>
  <si>
    <t xml:space="preserve">¿Qué apps abriste ayer, aunque sea un momento? (marca todas las que apliquen)</t>
  </si>
  <si>
    <t xml:space="preserve">WhatsApp / Instagram / TikTok / Facebook / Discord / LinkedIn / Telegram / Otras</t>
  </si>
  <si>
    <t xml:space="preserve">Pregunta nueva. Reemplaza a P26 y P27 con una sola pregunta.</t>
  </si>
  <si>
    <t xml:space="preserve">Competencia</t>
  </si>
  <si>
    <t xml:space="preserve">Ayer es conducta reciente: dice dónde está su atención y da el número local de Discord y LinkedIn, que no se mide en Perú.</t>
  </si>
  <si>
    <t xml:space="preserve">Se presenta como dato propio de una muestra pequeña, no como cifra del país.</t>
  </si>
  <si>
    <t xml:space="preserve">N12</t>
  </si>
  <si>
    <t xml:space="preserve">¿Cuántos grupos de WhatsApp de la UTP tienes ahora y en cuántos escribiste esta semana?</t>
  </si>
  <si>
    <t xml:space="preserve">Dos números (texto breve con validación): grupos que tengo / grupos donde escribí esta semana</t>
  </si>
  <si>
    <t xml:space="preserve">Mide cuánto de su red vive en grupos que se apagan.</t>
  </si>
  <si>
    <t xml:space="preserve">Comparar con P8: si tienen muchos grupos pero escriben en pocos, el espacio existe pero está vacío.</t>
  </si>
  <si>
    <t xml:space="preserve">N13</t>
  </si>
  <si>
    <t xml:space="preserve">En la red social que más usas, ¿con qué nombre apareces?</t>
  </si>
  <si>
    <t xml:space="preserve">Nombre y apellido reales / Nombre y apellido abreviados / Apodo o seudónimo / No tengo perfil</t>
  </si>
  <si>
    <t xml:space="preserve">Pregunta nueva. Kampus exige nombre real y esto mide cuánta fricción genera.</t>
  </si>
  <si>
    <t xml:space="preserve">Confianza</t>
  </si>
  <si>
    <t xml:space="preserve">Si casi todos usan apodo, la identidad real es una fricción de entrada y hay que cuidar el mensaje de registro.</t>
  </si>
  <si>
    <t xml:space="preserve">Se sostiene (sin fricción) si la mayoría usa nombre real. Si domina el apodo, revisar cómo se explica el registro.</t>
  </si>
  <si>
    <t xml:space="preserve">N14</t>
  </si>
  <si>
    <t xml:space="preserve">9. Una idea en construcción</t>
  </si>
  <si>
    <t xml:space="preserve">¿Qué tan parecido es esto a algo que ya usas? (después de leer la idea)</t>
  </si>
  <si>
    <t xml:space="preserve">Es igual a algo que ya uso (¿cuál?) / Es parecido, pero distinto / No se parece a nada</t>
  </si>
  <si>
    <t xml:space="preserve">Pregunta nueva. Va en la sección final, después de todas las de conducta.</t>
  </si>
  <si>
    <t xml:space="preserve">Concepto</t>
  </si>
  <si>
    <t xml:space="preserve">Muestra la competencia real, la que el alumno nombra y no la que tú imaginas.</t>
  </si>
  <si>
    <t xml:space="preserve">Contar los nombres que escriben: ahí está tu competencia directa.</t>
  </si>
  <si>
    <t xml:space="preserve">Todos. Sección final</t>
  </si>
  <si>
    <t xml:space="preserve">N15</t>
  </si>
  <si>
    <t xml:space="preserve">¿Qué tendría que pasar para que NO la instales? (después de leer la idea)</t>
  </si>
  <si>
    <t xml:space="preserve">Pregunta nueva. Es una pregunta de barreras, la única forma de «hipotética» que aporta.</t>
  </si>
  <si>
    <t xml:space="preserve">Saca las barreras reales: privacidad, pereza, falta de gente conocida.</t>
  </si>
  <si>
    <t xml:space="preserve">Codificar en categorías. Una barrera que se repite es una decisión de producto.</t>
  </si>
  <si>
    <t xml:space="preserve">N16</t>
  </si>
  <si>
    <t xml:space="preserve">¿Qué te preocuparía de que los alumnos vean tu nombre, carrera y ciclo? (marca todas las que apliquen)</t>
  </si>
  <si>
    <t xml:space="preserve">Nada / Que me escriban desconocidos / Que se vea lo que publico / Que la universidad vea lo que hablo / Que se use mal mi información / Otro</t>
  </si>
  <si>
    <t xml:space="preserve">Mide el riesgo de confianza, el mayor del producto, porque en Kampus no hay anonimato.</t>
  </si>
  <si>
    <t xml:space="preserve">Si «que la universidad vea lo que hablo» sale alto, reforzar que la universidad no ve mensajes, solo métricas agregadas.</t>
  </si>
  <si>
    <t xml:space="preserve">N17</t>
  </si>
  <si>
    <t xml:space="preserve">Si solo pudieras tener UNA de estas funciones en una app de la UTP, ¿cuál elegirías?</t>
  </si>
  <si>
    <t xml:space="preserve">Preguntarle a un alumno de ciclo mayor / Conocer gente de otras carreras con mis intereses / Enterarme de clubes y eventos / Conseguir encuestados para mis trabajos / Mostrar mis habilidades para prácticas</t>
  </si>
  <si>
    <t xml:space="preserve">Pregunta nueva. Obliga a elegir una.</t>
  </si>
  <si>
    <t xml:space="preserve">Prioridad declarada. Es opinión y pesa menos que lo que hicieron (N8), pero sirve para confirmar o contradecir.</t>
  </si>
  <si>
    <t xml:space="preserve">Si N17 y N8 no coinciden, manda N8.</t>
  </si>
  <si>
    <t xml:space="preserve">N18</t>
  </si>
  <si>
    <t xml:space="preserve">¿Cómo llegó este formulario a ti?</t>
  </si>
  <si>
    <t xml:space="preserve">Grupo de WhatsApp / Un amigo / Instagram / Un profesor / Otro</t>
  </si>
  <si>
    <t xml:space="preserve">Pregunta nueva. No es para el producto sino para leer bien los datos.</t>
  </si>
  <si>
    <t xml:space="preserve">Calidad de la muestra</t>
  </si>
  <si>
    <t xml:space="preserve">Detecta sesgo: si casi todos llegaron por el mismo grupo, la muestra es de gente muy conectada y sobreestima lo bien que les va.</t>
  </si>
  <si>
    <t xml:space="preserve">Si más de la mitad viene del mismo canal, difundir por otros canales antes de sacar conclusiones.</t>
  </si>
  <si>
    <t xml:space="preserve">Todos. Va al final</t>
  </si>
  <si>
    <t xml:space="preserve">Qué creemos</t>
  </si>
  <si>
    <t xml:space="preserve">Preguntas que la miden</t>
  </si>
  <si>
    <t xml:space="preserve">Se sostiene si</t>
  </si>
  <si>
    <t xml:space="preserve">Se debilita si</t>
  </si>
  <si>
    <t xml:space="preserve">Qué decides con eso</t>
  </si>
  <si>
    <t xml:space="preserve">Cobertura hoy</t>
  </si>
  <si>
    <t xml:space="preserve">Con las mejoras</t>
  </si>
  <si>
    <t xml:space="preserve">Nº de preguntas</t>
  </si>
  <si>
    <t xml:space="preserve">El cachimbo casi no conoce gente de otras carreras fuera de su salón.</t>
  </si>
  <si>
    <t xml:space="preserve">P4, P5 (Alta). P6, P7 (Media).</t>
  </si>
  <si>
    <t xml:space="preserve">En ciclos 1 a 3 la mayoría marca «Ninguno» o «Entre 1 y 3» en P5.</t>
  </si>
  <si>
    <t xml:space="preserve">Más de 4 de cada 10 marcan 4 o más.</t>
  </si>
  <si>
    <t xml:space="preserve">Si conocer gente de otras carreras es argumento central del proyecto.</t>
  </si>
  <si>
    <t xml:space="preserve">Cubierta</t>
  </si>
  <si>
    <t xml:space="preserve">Conseguir encuestados para un trabajo académico cuesta, sobre todo cuando se necesita un perfil específico.</t>
  </si>
  <si>
    <t xml:space="preserve">P9, P11, P12 (Alta). P10, N4 (Media).</t>
  </si>
  <si>
    <t xml:space="preserve">Más de la mitad de quienes encuestaron dicen que costó mucho, entregaron con menos o inventaron datos.</t>
  </si>
  <si>
    <t xml:space="preserve">Menos de 3 de cada 10.</t>
  </si>
  <si>
    <t xml:space="preserve">Si el intercambio de encuestas es el gancho del producto.</t>
  </si>
  <si>
    <t xml:space="preserve">Cubierta, falta el seguimiento</t>
  </si>
  <si>
    <t xml:space="preserve">Un alumno responde la encuesta de otro alumno si el tema le interesa o recibe algo a cambio.</t>
  </si>
  <si>
    <t xml:space="preserve">P13, P14 (Alta).</t>
  </si>
  <si>
    <t xml:space="preserve">Tema y recompensa suman la mayoría de los motivos.</t>
  </si>
  <si>
    <t xml:space="preserve">La mayoría responde por favor a un amigo.</t>
  </si>
  <si>
    <t xml:space="preserve">Cómo se reparte el alcance de las encuestas y qué se da a cambio.</t>
  </si>
  <si>
    <t xml:space="preserve">Parcial</t>
  </si>
  <si>
    <t xml:space="preserve">El correo de la UTP no sirve para enterarse de programas y eventos.</t>
  </si>
  <si>
    <t xml:space="preserve">P16, P18 (Alta). P15, P17, P19, P20, P23, P24 (Media).</t>
  </si>
  <si>
    <t xml:space="preserve">Muchos con más de 50 correos sin leer y pocos nombran programas en P18.</t>
  </si>
  <si>
    <t xml:space="preserve">La mayoría nombra 2 o más programas.</t>
  </si>
  <si>
    <t xml:space="preserve">Si hace falta informar por la app y qué se le dice a la universidad.</t>
  </si>
  <si>
    <t xml:space="preserve">Los grupos de WhatsApp de ciclos anteriores se apagan y no se sabe cómo entrar a clubes o comunidades.</t>
  </si>
  <si>
    <t xml:space="preserve">P8, P21 (Alta). P22, N12 (Media).</t>
  </si>
  <si>
    <t xml:space="preserve">Muchos grupos silenciados o inactivos y aparece «No supe cómo entrar».</t>
  </si>
  <si>
    <t xml:space="preserve">Casi todos los grupos siguen activos.</t>
  </si>
  <si>
    <t xml:space="preserve">Si el flujo de comunidades y eventos resuelve algo real.</t>
  </si>
  <si>
    <t xml:space="preserve">Un alumno de ciclos superiores ayuda a un alumno de ciclo menor que no conoce.</t>
  </si>
  <si>
    <t xml:space="preserve">N1, N2, N3, N10 (Alta). P25 (Media).</t>
  </si>
  <si>
    <t xml:space="preserve">Al menos 2 de cada 10 de ciclo 5 o más ayudó este ciclo a alguien que no conocía.</t>
  </si>
  <si>
    <t xml:space="preserve">Menos de 1 de cada 10.</t>
  </si>
  <si>
    <t xml:space="preserve">Si el flujo de orientación entra al piloto y con qué incentivo.</t>
  </si>
  <si>
    <t xml:space="preserve">Sin cubrir. Es la apuesta más riesgosa.</t>
  </si>
  <si>
    <t xml:space="preserve">Al alumno le sirve un perfil verificado de habilidades además del promedio.</t>
  </si>
  <si>
    <t xml:space="preserve">P28, N6 (Alta). P29 (Media).</t>
  </si>
  <si>
    <t xml:space="preserve">Quienes postularon dicen que no pudieron mostrar más que el promedio.</t>
  </si>
  <si>
    <t xml:space="preserve">La mayoría ni postula ni lo quiere.</t>
  </si>
  <si>
    <t xml:space="preserve">Si el flujo de perfil va en el piloto. Nunca prometer prácticas sin convenio con la UTP.</t>
  </si>
  <si>
    <t xml:space="preserve">Hay alumnos que dejan de participar en concursos o proyectos por no encontrar equipo.</t>
  </si>
  <si>
    <t xml:space="preserve">N7 (Alta).</t>
  </si>
  <si>
    <t xml:space="preserve">2 de cada 10 o más dicen que sí.</t>
  </si>
  <si>
    <t xml:space="preserve">Menos de 2 de cada 10: hay que replantear el ángulo.</t>
  </si>
  <si>
    <t xml:space="preserve">Si el problema que resuelve Kampus es el que dices.</t>
  </si>
  <si>
    <t xml:space="preserve">Sin cubrir</t>
  </si>
  <si>
    <t xml:space="preserve">Los umbrales («2 de cada 10», «más de la mitad») son una propuesta mía de partida. Confírmalos antes de ver los datos y anótalos con fecha. Entre el umbral de arriba y el de abajo, el resultado es no concluyente y toca entrevistar.</t>
  </si>
  <si>
    <t xml:space="preserve">Grupo</t>
  </si>
  <si>
    <t xml:space="preserve">Tema</t>
  </si>
  <si>
    <t xml:space="preserve">Qué hacer</t>
  </si>
  <si>
    <t xml:space="preserve">Por qué</t>
  </si>
  <si>
    <t xml:space="preserve">Presentación</t>
  </si>
  <si>
    <t xml:space="preserve">Tiempo</t>
  </si>
  <si>
    <t xml:space="preserve">Cambiar el aviso de 4 minutos por el tiempo real. Con la versión corta la estimación es de 6 a 8 minutos; medirlo con dos personas de cada grupo antes de difundir.</t>
  </si>
  <si>
    <t xml:space="preserve">Un aviso falso baja la confianza y sube el abandono.</t>
  </si>
  <si>
    <t xml:space="preserve">Anonimato</t>
  </si>
  <si>
    <t xml:space="preserve">En Configuración, apagar «Limitar a una respuesta» y «Recopilar correos».</t>
  </si>
  <si>
    <t xml:space="preserve">La primera obliga a iniciar sesión con Google y la segunda pide el correo. Con ellas el formulario deja de ser anónimo.</t>
  </si>
  <si>
    <t xml:space="preserve">Uso de los datos</t>
  </si>
  <si>
    <t xml:space="preserve">Agregar quién ve las respuestas, por ejemplo el equipo y el docente del curso.</t>
  </si>
  <si>
    <t xml:space="preserve">Quien sabe quién lee responde con más sinceridad.</t>
  </si>
  <si>
    <t xml:space="preserve">Texto de la sección 3</t>
  </si>
  <si>
    <t xml:space="preserve">Cambiar «Cómo es que conectas» por una frase completa o dejarla vacía.</t>
  </si>
  <si>
    <t xml:space="preserve">Parece un borrador y le baja la credibilidad al formulario.</t>
  </si>
  <si>
    <t xml:space="preserve">Bloque opcional</t>
  </si>
  <si>
    <t xml:space="preserve">Poner las preguntas de prioridad Media al final, en una sección opcional titulada «Si tienes 2 minutos más».</t>
  </si>
  <si>
    <t xml:space="preserve">Quien se cansa ya entregó lo esencial.</t>
  </si>
  <si>
    <t xml:space="preserve">Ramificación</t>
  </si>
  <si>
    <t xml:space="preserve">Quien marca «Ninguno» salta P10 a P12 y sigue en P13. Corrige lo que dice el documento de revisión, que mandaba a la sección 5.</t>
  </si>
  <si>
    <t xml:space="preserve">P13 y P14 le sirven a todos, también a quien nunca encuestó. En Google Forms hay que poner P13 y P14 en su propia sección para poder saltar.</t>
  </si>
  <si>
    <t xml:space="preserve">Quien marca «Ninguna» salta P14.</t>
  </si>
  <si>
    <t xml:space="preserve">P14 pregunta por la última encuesta que respondió.</t>
  </si>
  <si>
    <t xml:space="preserve">«Sí» pasa a P20. «No» o «No sé» salta a la sección 6.</t>
  </si>
  <si>
    <t xml:space="preserve">Solo quien se perdió algo puede contarlo.</t>
  </si>
  <si>
    <t xml:space="preserve">«Ninguno» salta P23.</t>
  </si>
  <si>
    <t xml:space="preserve">No puede recordar eventos a los que no fue.</t>
  </si>
  <si>
    <t xml:space="preserve">Solo quien marca «Sí, pero casi nunca entro», «No tengo» o «No sé qué es» ve P29.</t>
  </si>
  <si>
    <t xml:space="preserve">P29 pregunta por qué no lo usa.</t>
  </si>
  <si>
    <t xml:space="preserve">Quien marca ciclo 5 o más pasa a la sección de ayuda entre ciclos (N3 y N10). La app deja orientar desde el ciclo 5, pero el resto del proyecto habla de ciclos 7 a 10: decidir cuál corte vale.</t>
  </si>
  <si>
    <t xml:space="preserve">Solo ellos pueden haber ayudado a alguien de un ciclo menor.</t>
  </si>
  <si>
    <t xml:space="preserve">Forma</t>
  </si>
  <si>
    <t xml:space="preserve">Activar validación de número entero entre 0 y 1000.</t>
  </si>
  <si>
    <t xml:space="preserve">Hoy acepta «unos 50» o «muchos» y esos datos no se pueden sumar.</t>
  </si>
  <si>
    <t xml:space="preserve">Ortografía</t>
  </si>
  <si>
    <t xml:space="preserve">Corregir «Whatssap» (P7, P24), «Linkedlin» (P7, P10, P24), «Si,pero» (P11), «No,desconozco» (P21), «anteriores,los borré» sin espacio (P8), «¿Que» sin tilde (P20, P23), «porqué» por «por qué» (P27, P29) y «outlook» sin mayúscula (P15).</t>
  </si>
  <si>
    <t xml:space="preserve">Una pregunta con faltas le baja la credibilidad al formulario.</t>
  </si>
  <si>
    <t xml:space="preserve">Sección final «Una idea en construcción»</t>
  </si>
  <si>
    <t xml:space="preserve">Texto neutro de tres líneas, sin adjetivos de venta. Ejemplo: «Estamos pensando en una app solo para alumnos de tu universidad. Entras con tu correo institucional y tu nombre real. Puedes preguntarle algo a un alumno de ciclo mayor, unirte a grupos, enterarte de eventos y responder o mandar encuestas de trabajos». Después van N14 a N17.</t>
  </si>
  <si>
    <t xml:space="preserve">Va al final y separada para no influir las preguntas de conducta. Mide opinión, que es una señal más débil que lo que hicieron.</t>
  </si>
  <si>
    <t xml:space="preserve">Segundo formulario</t>
  </si>
  <si>
    <t xml:space="preserve">Enlace final a un formulario aparte con una sola pregunta: si deja su contacto para una conversación de 15 minutos y por qué medio.</t>
  </si>
  <si>
    <t xml:space="preserve">Dejar el contacto cuesta más que opinar y es la mejor señal de interés. Va separado para no romper el anonimato de este formulario.</t>
  </si>
  <si>
    <t xml:space="preserve">Entrevistas a la universidad</t>
  </si>
  <si>
    <t xml:space="preserve">Hacer 3 a 5 entrevistas a personas de bienestar, empleabilidad o tutoría, con otras preguntas.</t>
  </si>
  <si>
    <t xml:space="preserve">La universidad es quien paga y no responde este formulario.</t>
  </si>
  <si>
    <t xml:space="preserve">Con las 14 respuestas que ya hay</t>
  </si>
  <si>
    <t xml:space="preserve">Cambios seguros</t>
  </si>
  <si>
    <t xml:space="preserve">Corregir ortografía, agregar opciones, agregar preguntas y agregar ramificaciones.</t>
  </si>
  <si>
    <t xml:space="preserve">No invalidan las respuestas existentes.</t>
  </si>
  <si>
    <t xml:space="preserve">Cambios con cuidado</t>
  </si>
  <si>
    <t xml:space="preserve">Reformular P12, P14, P22 y P25: anotar la fecha del cambio y analizar por separado las respuestas anteriores y las posteriores.</t>
  </si>
  <si>
    <t xml:space="preserve">Cambian lo que la pregunta mide.</t>
  </si>
  <si>
    <t xml:space="preserve">No tocar</t>
  </si>
  <si>
    <t xml:space="preserve">No renombrar ni eliminar opciones ya usadas, salvo para corregir ortografía.</t>
  </si>
  <si>
    <t xml:space="preserve">Se pierde la comparación con las respuestas que ya llegaron.</t>
  </si>
  <si>
    <t xml:space="preserve">Cuota por grupo</t>
  </si>
  <si>
    <t xml:space="preserve">Reunir unas 30 respuestas de ciclos 1 a 3 y otras 30 de ciclos 7 a 10. Antes de difundir, contar cuántas de las 14 actuales son de cada grupo.</t>
  </si>
  <si>
    <t xml:space="preserve">Con menos de 30 por grupo, solo se pueden mostrar conteos, no porcentajes.</t>
  </si>
  <si>
    <t xml:space="preserve">Preguntas del formulario de Kampus: resumen</t>
  </si>
  <si>
    <t xml:space="preserve">Para qué sirve esta hoja</t>
  </si>
  <si>
    <t xml:space="preserve">Reúne en un solo lugar las 30 preguntas de tu formulario, mi versión mejorada de cada una y las 18 preguntas nuevas, con la razón de cada cambio y la decisión del proyecto que cada pregunta ayuda a tomar.</t>
  </si>
  <si>
    <t xml:space="preserve">Cómo usarla: en la pestaña Preguntas, filtra Acción para ver qué cambiar, quitar o agregar, y filtra Prioridad = Alta para armar la versión corta del formulario.</t>
  </si>
  <si>
    <t xml:space="preserve">Prioridad: Alta entra en la versión corta. Media va en un bloque opcional al final («Si tienes 2 minutos más»). Baja son las que se quitan.</t>
  </si>
  <si>
    <t xml:space="preserve">Colores de Acción: verde = mantener, ámbar = cambiar, rojo = quitar, azul = agregar. Siguen al valor, así que si cambias una Acción cambia el color y los números de abajo.</t>
  </si>
  <si>
    <t xml:space="preserve">Pestañas: Preguntas (todo el detalle), Apuestas (las 7 hipótesis y la central, con cuándo se sostienen), Ajustes (ramificaciones, configuración y cómo aplicar los cambios con las 14 respuestas que ya hay).</t>
  </si>
  <si>
    <t xml:space="preserve">Los umbrales y el tiempo estimado son propuestas mías. Confírmalos antes de ver los datos y mide el tiempo real con dos personas por grupo.</t>
  </si>
  <si>
    <t xml:space="preserve">Conteo</t>
  </si>
  <si>
    <t xml:space="preserve">Total</t>
  </si>
  <si>
    <t xml:space="preserve">Nota</t>
  </si>
  <si>
    <t xml:space="preserve">Preguntas del formulario hoy</t>
  </si>
  <si>
    <t xml:space="preserve">P1 a P30.</t>
  </si>
  <si>
    <t xml:space="preserve">Preguntas nuevas propuestas</t>
  </si>
  <si>
    <t xml:space="preserve">N1 a N18.</t>
  </si>
  <si>
    <t xml:space="preserve">Actuales que se mantienen</t>
  </si>
  <si>
    <t xml:space="preserve">Sin cambios o con ajustes mínimos.</t>
  </si>
  <si>
    <t xml:space="preserve">Actuales que se cambian</t>
  </si>
  <si>
    <t xml:space="preserve">Cambian el texto, las opciones o a quién se muestran.</t>
  </si>
  <si>
    <t xml:space="preserve">Actuales que se quitan</t>
  </si>
  <si>
    <t xml:space="preserve">P3 (edad), P26 y P27 (Discord).</t>
  </si>
  <si>
    <t xml:space="preserve">Nuevas que se agregan</t>
  </si>
  <si>
    <t xml:space="preserve">Total si aplicas todo</t>
  </si>
  <si>
    <t xml:space="preserve">Actuales menos las que se quitan, más las nuevas. Demasiado largo para una sola vez.</t>
  </si>
  <si>
    <t xml:space="preserve">Versión corta (prioridad Alta)</t>
  </si>
  <si>
    <t xml:space="preserve">Con las ramificaciones, cada persona ve hasta 5 menos. Tiempo estimado: 6 a 8 minutos.</t>
  </si>
  <si>
    <t xml:space="preserve">Bloque opcional (prioridad Media)</t>
  </si>
  <si>
    <t xml:space="preserve">Al final, en una sección opcional.</t>
  </si>
  <si>
    <t xml:space="preserve">Versión completa (Alta + Media)</t>
  </si>
  <si>
    <t xml:space="preserve">Quitar (prioridad Baja)</t>
  </si>
  <si>
    <t xml:space="preserve">Control: Alta + Media + Baja = total de filas</t>
  </si>
  <si>
    <t xml:space="preserve">Debe decir OK.</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</si>
</sst>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i val="true"/>
      <sz val="9"/>
      <color rgb="FF595959"/>
      <name val="Arial"/>
      <family val="0"/>
      <charset val="1"/>
    </font>
    <font>
      <b val="true"/>
      <sz val="14"/>
      <color rgb="FF2F2A6B"/>
      <name val="Arial"/>
      <family val="0"/>
      <charset val="1"/>
    </font>
  </fonts>
  <fills count="4">
    <fill>
      <patternFill patternType="none"/>
    </fill>
    <fill>
      <patternFill patternType="gray125"/>
    </fill>
    <fill>
      <patternFill patternType="solid">
        <fgColor rgb="FF2F2A6B"/>
        <bgColor rgb="FF1F3F7A"/>
      </patternFill>
    </fill>
    <fill>
      <patternFill patternType="solid">
        <fgColor rgb="FFEEF0F7"/>
        <bgColor rgb="FFF1F1F1"/>
      </patternFill>
    </fill>
  </fills>
  <borders count="2">
    <border diagonalUp="false" diagonalDown="false">
      <left/>
      <right/>
      <top/>
      <bottom/>
      <diagonal/>
    </border>
    <border diagonalUp="false" diagonalDown="false">
      <left style="thin">
        <color rgb="FFD0D3DC"/>
      </left>
      <right style="thin">
        <color rgb="FFD0D3DC"/>
      </right>
      <top style="thin">
        <color rgb="FFD0D3DC"/>
      </top>
      <bottom style="thin">
        <color rgb="FFD0D3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2F2A6B"/>
          <bgColor rgb="FF000000"/>
        </patternFill>
      </fill>
    </dxf>
    <dxf>
      <fill>
        <patternFill patternType="solid">
          <bgColor rgb="FF000000"/>
        </patternFill>
      </fill>
    </dxf>
    <dxf>
      <fill>
        <patternFill patternType="solid">
          <fgColor rgb="FFFFFFFF"/>
          <bgColor rgb="FF000000"/>
        </patternFill>
      </fill>
    </dxf>
    <dxf>
      <fill>
        <patternFill patternType="solid">
          <fgColor rgb="FFD8E4F8"/>
          <bgColor rgb="FF000000"/>
        </patternFill>
      </fill>
    </dxf>
    <dxf>
      <fill>
        <patternFill patternType="solid">
          <fgColor rgb="FFD9EFDF"/>
          <bgColor rgb="FF000000"/>
        </patternFill>
      </fill>
    </dxf>
    <dxf>
      <fill>
        <patternFill patternType="solid">
          <fgColor rgb="FFF7D4D4"/>
          <bgColor rgb="FF000000"/>
        </patternFill>
      </fill>
    </dxf>
    <dxf>
      <fill>
        <patternFill patternType="solid">
          <fgColor rgb="FFFFF0C2"/>
          <bgColor rgb="FF000000"/>
        </patternFill>
      </fill>
    </dxf>
    <dxf>
      <fill>
        <patternFill patternType="solid">
          <fgColor rgb="FF1E6B35"/>
          <bgColor rgb="FF000000"/>
        </patternFill>
      </fill>
    </dxf>
    <dxf>
      <fill>
        <patternFill patternType="solid">
          <fgColor rgb="FF1F3F7A"/>
          <bgColor rgb="FF000000"/>
        </patternFill>
      </fill>
    </dxf>
    <dxf>
      <fill>
        <patternFill patternType="solid">
          <fgColor rgb="FF8A5A00"/>
          <bgColor rgb="FF000000"/>
        </patternFill>
      </fill>
    </dxf>
    <dxf>
      <fill>
        <patternFill patternType="solid">
          <fgColor rgb="FF9B1C1C"/>
          <bgColor rgb="FF000000"/>
        </patternFill>
      </fill>
    </dxf>
    <dxf>
      <fill>
        <patternFill patternType="solid">
          <fgColor rgb="FFE3E0F5"/>
          <bgColor rgb="FF000000"/>
        </patternFill>
      </fill>
    </dxf>
    <dxf>
      <fill>
        <patternFill patternType="solid">
          <fgColor rgb="FFF1F1F1"/>
          <bgColor rgb="FF000000"/>
        </patternFill>
      </fill>
    </dxf>
    <dxf>
      <fill>
        <patternFill patternType="solid">
          <fgColor rgb="FFFAFAFA"/>
          <bgColor rgb="FF000000"/>
        </patternFill>
      </fill>
    </dxf>
    <dxf>
      <fill>
        <patternFill patternType="solid">
          <fgColor rgb="FF404040"/>
          <bgColor rgb="FF000000"/>
        </patternFill>
      </fill>
    </dxf>
    <dxf>
      <fill>
        <patternFill patternType="solid">
          <fgColor rgb="FF8A8A8A"/>
          <bgColor rgb="FF000000"/>
        </patternFill>
      </fill>
    </dxf>
    <dxf>
      <font>
        <name val="Arial"/>
        <charset val="1"/>
        <family val="0"/>
        <b val="1"/>
        <color rgb="FF1E6B35"/>
      </font>
      <fill>
        <patternFill>
          <bgColor rgb="FFD9EFDF"/>
        </patternFill>
      </fill>
    </dxf>
    <dxf>
      <font>
        <name val="Arial"/>
        <charset val="1"/>
        <family val="0"/>
        <b val="1"/>
        <color rgb="FF8A5A00"/>
      </font>
      <fill>
        <patternFill>
          <bgColor rgb="FFFFF0C2"/>
        </patternFill>
      </fill>
    </dxf>
    <dxf>
      <font>
        <name val="Arial"/>
        <charset val="1"/>
        <family val="0"/>
        <b val="1"/>
        <color rgb="FF9B1C1C"/>
      </font>
      <fill>
        <patternFill>
          <bgColor rgb="FFF7D4D4"/>
        </patternFill>
      </fill>
    </dxf>
    <dxf>
      <font>
        <name val="Arial"/>
        <charset val="1"/>
        <family val="0"/>
        <b val="1"/>
        <color rgb="FF1F3F7A"/>
      </font>
      <fill>
        <patternFill>
          <bgColor rgb="FFD8E4F8"/>
        </patternFill>
      </fill>
    </dxf>
    <dxf>
      <font>
        <name val="Arial"/>
        <charset val="1"/>
        <family val="0"/>
        <b val="1"/>
        <color rgb="FF2F2A6B"/>
      </font>
      <fill>
        <patternFill>
          <bgColor rgb="FFE3E0F5"/>
        </patternFill>
      </fill>
    </dxf>
    <dxf>
      <font>
        <name val="Arial"/>
        <charset val="1"/>
        <family val="0"/>
        <b val="1"/>
        <color rgb="FF404040"/>
      </font>
      <fill>
        <patternFill>
          <bgColor rgb="FFF1F1F1"/>
        </patternFill>
      </fill>
    </dxf>
    <dxf>
      <font>
        <name val="Arial"/>
        <charset val="1"/>
        <family val="0"/>
        <b val="1"/>
        <color rgb="FF8A8A8A"/>
      </font>
      <fill>
        <patternFill>
          <bgColor rgb="FFFAFAFA"/>
        </patternFill>
      </fill>
    </dxf>
  </dxfs>
  <colors>
    <indexedColors>
      <rgbColor rgb="FF000000"/>
      <rgbColor rgb="FFFFFFFF"/>
      <rgbColor rgb="FFFF0000"/>
      <rgbColor rgb="FF00FF00"/>
      <rgbColor rgb="FF0000FF"/>
      <rgbColor rgb="FFFFFF00"/>
      <rgbColor rgb="FFFF00FF"/>
      <rgbColor rgb="FF00FFFF"/>
      <rgbColor rgb="FF800000"/>
      <rgbColor rgb="FF1E6B35"/>
      <rgbColor rgb="FF000080"/>
      <rgbColor rgb="FF8A5A00"/>
      <rgbColor rgb="FF800080"/>
      <rgbColor rgb="FF008080"/>
      <rgbColor rgb="FFE3E0F5"/>
      <rgbColor rgb="FF8A8A8A"/>
      <rgbColor rgb="FF9999FF"/>
      <rgbColor rgb="FF993366"/>
      <rgbColor rgb="FFFFF0C2"/>
      <rgbColor rgb="FFD8E4F8"/>
      <rgbColor rgb="FF660066"/>
      <rgbColor rgb="FFFF8080"/>
      <rgbColor rgb="FF0066CC"/>
      <rgbColor rgb="FFD0D3DC"/>
      <rgbColor rgb="FF000080"/>
      <rgbColor rgb="FFFF00FF"/>
      <rgbColor rgb="FFFFFF00"/>
      <rgbColor rgb="FF00FFFF"/>
      <rgbColor rgb="FF800080"/>
      <rgbColor rgb="FF800000"/>
      <rgbColor rgb="FF008080"/>
      <rgbColor rgb="FF0000FF"/>
      <rgbColor rgb="FF00CCFF"/>
      <rgbColor rgb="FFEEF0F7"/>
      <rgbColor rgb="FFD9EFDF"/>
      <rgbColor rgb="FFF1F1F1"/>
      <rgbColor rgb="FFFAFAFA"/>
      <rgbColor rgb="FFFF99CC"/>
      <rgbColor rgb="FFCC99FF"/>
      <rgbColor rgb="FFF7D4D4"/>
      <rgbColor rgb="FF3366FF"/>
      <rgbColor rgb="FF33CCCC"/>
      <rgbColor rgb="FF99CC00"/>
      <rgbColor rgb="FFFFCC00"/>
      <rgbColor rgb="FFFF9900"/>
      <rgbColor rgb="FFFF6600"/>
      <rgbColor rgb="FF595959"/>
      <rgbColor rgb="FF969696"/>
      <rgbColor rgb="FF1F3F7A"/>
      <rgbColor rgb="FF339966"/>
      <rgbColor rgb="FF003300"/>
      <rgbColor rgb="FF333300"/>
      <rgbColor rgb="FF9B1C1C"/>
      <rgbColor rgb="FF993366"/>
      <rgbColor rgb="FF2F2A6B"/>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11"/>
    <col collapsed="false" customWidth="true" hidden="false" outlineLevel="0" max="4" min="4" style="0" width="10"/>
    <col collapsed="false" customWidth="true" hidden="false" outlineLevel="0" max="5" min="5" style="0" width="34"/>
    <col collapsed="false" customWidth="true" hidden="false" outlineLevel="0" max="6" min="6" style="0" width="42"/>
    <col collapsed="false" customWidth="true" hidden="false" outlineLevel="0" max="7" min="7" style="0" width="48"/>
    <col collapsed="false" customWidth="true" hidden="false" outlineLevel="0" max="8" min="8" style="0" width="44"/>
    <col collapsed="false" customWidth="true" hidden="false" outlineLevel="0" max="9" min="9" style="0" width="14"/>
    <col collapsed="false" customWidth="true" hidden="false" outlineLevel="0" max="10" min="10" style="0" width="44"/>
    <col collapsed="false" customWidth="true" hidden="false" outlineLevel="0" max="11" min="11" style="0" width="42"/>
    <col collapsed="false" customWidth="true" hidden="false" outlineLevel="0" max="12" min="12" style="0" width="28"/>
    <col collapsed="false" customWidth="true" hidden="false" outlineLevel="0" max="13" min="13"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35.05" hidden="false" customHeight="false" outlineLevel="0" collapsed="false">
      <c r="A2" s="2" t="s">
        <v>13</v>
      </c>
      <c r="B2" s="3" t="s">
        <v>14</v>
      </c>
      <c r="C2" s="4" t="s">
        <v>15</v>
      </c>
      <c r="D2" s="4" t="s">
        <v>16</v>
      </c>
      <c r="E2" s="3" t="s">
        <v>17</v>
      </c>
      <c r="F2" s="2" t="s">
        <v>17</v>
      </c>
      <c r="G2" s="3" t="s">
        <v>18</v>
      </c>
      <c r="H2" s="3" t="s">
        <v>19</v>
      </c>
      <c r="I2" s="4" t="s">
        <v>20</v>
      </c>
      <c r="J2" s="3" t="s">
        <v>21</v>
      </c>
      <c r="K2" s="3" t="s">
        <v>22</v>
      </c>
      <c r="L2" s="3" t="s">
        <v>23</v>
      </c>
      <c r="M2" s="4" t="s">
        <v>24</v>
      </c>
    </row>
    <row r="3" customFormat="false" ht="35.05" hidden="false" customHeight="false" outlineLevel="0" collapsed="false">
      <c r="A3" s="2" t="s">
        <v>25</v>
      </c>
      <c r="B3" s="3" t="s">
        <v>14</v>
      </c>
      <c r="C3" s="4" t="s">
        <v>26</v>
      </c>
      <c r="D3" s="4" t="s">
        <v>16</v>
      </c>
      <c r="E3" s="3" t="s">
        <v>27</v>
      </c>
      <c r="F3" s="2" t="s">
        <v>27</v>
      </c>
      <c r="G3" s="3" t="s">
        <v>28</v>
      </c>
      <c r="H3" s="3" t="s">
        <v>29</v>
      </c>
      <c r="I3" s="4" t="s">
        <v>20</v>
      </c>
      <c r="J3" s="3" t="s">
        <v>30</v>
      </c>
      <c r="K3" s="3" t="s">
        <v>31</v>
      </c>
      <c r="L3" s="3" t="s">
        <v>23</v>
      </c>
      <c r="M3" s="4" t="s">
        <v>24</v>
      </c>
    </row>
    <row r="4" customFormat="false" ht="35.05" hidden="false" customHeight="false" outlineLevel="0" collapsed="false">
      <c r="A4" s="2" t="s">
        <v>32</v>
      </c>
      <c r="B4" s="3" t="s">
        <v>14</v>
      </c>
      <c r="C4" s="4" t="s">
        <v>33</v>
      </c>
      <c r="D4" s="4" t="s">
        <v>34</v>
      </c>
      <c r="E4" s="3" t="s">
        <v>35</v>
      </c>
      <c r="F4" s="2" t="s">
        <v>36</v>
      </c>
      <c r="G4" s="3" t="s">
        <v>37</v>
      </c>
      <c r="H4" s="3" t="s">
        <v>38</v>
      </c>
      <c r="I4" s="4" t="s">
        <v>39</v>
      </c>
      <c r="J4" s="3" t="s">
        <v>40</v>
      </c>
      <c r="K4" s="3" t="s">
        <v>36</v>
      </c>
      <c r="L4" s="3" t="s">
        <v>36</v>
      </c>
      <c r="M4" s="4" t="s">
        <v>24</v>
      </c>
    </row>
    <row r="5" customFormat="false" ht="35.05" hidden="false" customHeight="false" outlineLevel="0" collapsed="false">
      <c r="A5" s="2" t="s">
        <v>41</v>
      </c>
      <c r="B5" s="3" t="s">
        <v>42</v>
      </c>
      <c r="C5" s="4" t="s">
        <v>26</v>
      </c>
      <c r="D5" s="4" t="s">
        <v>16</v>
      </c>
      <c r="E5" s="3" t="s">
        <v>43</v>
      </c>
      <c r="F5" s="2" t="s">
        <v>44</v>
      </c>
      <c r="G5" s="3" t="s">
        <v>45</v>
      </c>
      <c r="H5" s="3" t="s">
        <v>46</v>
      </c>
      <c r="I5" s="4" t="s">
        <v>47</v>
      </c>
      <c r="J5" s="3" t="s">
        <v>48</v>
      </c>
      <c r="K5" s="3" t="s">
        <v>49</v>
      </c>
      <c r="L5" s="3" t="s">
        <v>23</v>
      </c>
      <c r="M5" s="4" t="s">
        <v>24</v>
      </c>
    </row>
    <row r="6" customFormat="false" ht="35.05" hidden="false" customHeight="false" outlineLevel="0" collapsed="false">
      <c r="A6" s="2" t="s">
        <v>50</v>
      </c>
      <c r="B6" s="3" t="s">
        <v>42</v>
      </c>
      <c r="C6" s="4" t="s">
        <v>26</v>
      </c>
      <c r="D6" s="4" t="s">
        <v>16</v>
      </c>
      <c r="E6" s="3" t="s">
        <v>51</v>
      </c>
      <c r="F6" s="2" t="s">
        <v>51</v>
      </c>
      <c r="G6" s="3" t="s">
        <v>52</v>
      </c>
      <c r="H6" s="3" t="s">
        <v>53</v>
      </c>
      <c r="I6" s="4" t="s">
        <v>47</v>
      </c>
      <c r="J6" s="3" t="s">
        <v>54</v>
      </c>
      <c r="K6" s="3" t="s">
        <v>55</v>
      </c>
      <c r="L6" s="3" t="s">
        <v>23</v>
      </c>
      <c r="M6" s="4" t="s">
        <v>24</v>
      </c>
    </row>
    <row r="7" customFormat="false" ht="35.05" hidden="false" customHeight="false" outlineLevel="0" collapsed="false">
      <c r="A7" s="2" t="s">
        <v>56</v>
      </c>
      <c r="B7" s="3" t="s">
        <v>42</v>
      </c>
      <c r="C7" s="4" t="s">
        <v>15</v>
      </c>
      <c r="D7" s="4" t="s">
        <v>57</v>
      </c>
      <c r="E7" s="3" t="s">
        <v>58</v>
      </c>
      <c r="F7" s="2" t="s">
        <v>58</v>
      </c>
      <c r="G7" s="3" t="s">
        <v>59</v>
      </c>
      <c r="H7" s="3" t="s">
        <v>60</v>
      </c>
      <c r="I7" s="4" t="s">
        <v>47</v>
      </c>
      <c r="J7" s="3" t="s">
        <v>61</v>
      </c>
      <c r="K7" s="3" t="s">
        <v>62</v>
      </c>
      <c r="L7" s="3" t="s">
        <v>23</v>
      </c>
      <c r="M7" s="4" t="s">
        <v>24</v>
      </c>
    </row>
    <row r="8" customFormat="false" ht="46.25" hidden="false" customHeight="false" outlineLevel="0" collapsed="false">
      <c r="A8" s="2" t="s">
        <v>63</v>
      </c>
      <c r="B8" s="3" t="s">
        <v>42</v>
      </c>
      <c r="C8" s="4" t="s">
        <v>15</v>
      </c>
      <c r="D8" s="4" t="s">
        <v>57</v>
      </c>
      <c r="E8" s="3" t="s">
        <v>64</v>
      </c>
      <c r="F8" s="2" t="s">
        <v>64</v>
      </c>
      <c r="G8" s="3" t="s">
        <v>65</v>
      </c>
      <c r="H8" s="3" t="s">
        <v>66</v>
      </c>
      <c r="I8" s="4" t="s">
        <v>47</v>
      </c>
      <c r="J8" s="3" t="s">
        <v>67</v>
      </c>
      <c r="K8" s="3" t="s">
        <v>68</v>
      </c>
      <c r="L8" s="3" t="s">
        <v>69</v>
      </c>
      <c r="M8" s="4" t="s">
        <v>70</v>
      </c>
    </row>
    <row r="9" customFormat="false" ht="46.25" hidden="false" customHeight="false" outlineLevel="0" collapsed="false">
      <c r="A9" s="2" t="s">
        <v>71</v>
      </c>
      <c r="B9" s="3" t="s">
        <v>42</v>
      </c>
      <c r="C9" s="4" t="s">
        <v>15</v>
      </c>
      <c r="D9" s="4" t="s">
        <v>16</v>
      </c>
      <c r="E9" s="3" t="s">
        <v>72</v>
      </c>
      <c r="F9" s="2" t="s">
        <v>72</v>
      </c>
      <c r="G9" s="3" t="s">
        <v>73</v>
      </c>
      <c r="H9" s="3" t="s">
        <v>74</v>
      </c>
      <c r="I9" s="4" t="s">
        <v>75</v>
      </c>
      <c r="J9" s="3" t="s">
        <v>76</v>
      </c>
      <c r="K9" s="3" t="s">
        <v>77</v>
      </c>
      <c r="L9" s="3" t="s">
        <v>23</v>
      </c>
      <c r="M9" s="4" t="s">
        <v>24</v>
      </c>
    </row>
    <row r="10" customFormat="false" ht="46.25" hidden="false" customHeight="false" outlineLevel="0" collapsed="false">
      <c r="A10" s="2" t="s">
        <v>78</v>
      </c>
      <c r="B10" s="3" t="s">
        <v>79</v>
      </c>
      <c r="C10" s="4" t="s">
        <v>26</v>
      </c>
      <c r="D10" s="4" t="s">
        <v>16</v>
      </c>
      <c r="E10" s="3" t="s">
        <v>80</v>
      </c>
      <c r="F10" s="2" t="s">
        <v>80</v>
      </c>
      <c r="G10" s="3" t="s">
        <v>81</v>
      </c>
      <c r="H10" s="3" t="s">
        <v>82</v>
      </c>
      <c r="I10" s="4" t="s">
        <v>83</v>
      </c>
      <c r="J10" s="3" t="s">
        <v>84</v>
      </c>
      <c r="K10" s="3" t="s">
        <v>85</v>
      </c>
      <c r="L10" s="3" t="s">
        <v>23</v>
      </c>
      <c r="M10" s="4" t="s">
        <v>24</v>
      </c>
    </row>
    <row r="11" customFormat="false" ht="46.25" hidden="false" customHeight="false" outlineLevel="0" collapsed="false">
      <c r="A11" s="2" t="s">
        <v>86</v>
      </c>
      <c r="B11" s="3" t="s">
        <v>79</v>
      </c>
      <c r="C11" s="4" t="s">
        <v>15</v>
      </c>
      <c r="D11" s="4" t="s">
        <v>57</v>
      </c>
      <c r="E11" s="3" t="s">
        <v>87</v>
      </c>
      <c r="F11" s="2" t="s">
        <v>88</v>
      </c>
      <c r="G11" s="3" t="s">
        <v>89</v>
      </c>
      <c r="H11" s="3" t="s">
        <v>90</v>
      </c>
      <c r="I11" s="4" t="s">
        <v>83</v>
      </c>
      <c r="J11" s="3" t="s">
        <v>91</v>
      </c>
      <c r="K11" s="3" t="s">
        <v>92</v>
      </c>
      <c r="L11" s="3" t="s">
        <v>93</v>
      </c>
      <c r="M11" s="4" t="s">
        <v>24</v>
      </c>
    </row>
    <row r="12" customFormat="false" ht="57.45" hidden="false" customHeight="false" outlineLevel="0" collapsed="false">
      <c r="A12" s="2" t="s">
        <v>94</v>
      </c>
      <c r="B12" s="3" t="s">
        <v>79</v>
      </c>
      <c r="C12" s="4" t="s">
        <v>15</v>
      </c>
      <c r="D12" s="4" t="s">
        <v>16</v>
      </c>
      <c r="E12" s="3" t="s">
        <v>95</v>
      </c>
      <c r="F12" s="2" t="s">
        <v>95</v>
      </c>
      <c r="G12" s="3" t="s">
        <v>96</v>
      </c>
      <c r="H12" s="3" t="s">
        <v>97</v>
      </c>
      <c r="I12" s="4" t="s">
        <v>83</v>
      </c>
      <c r="J12" s="3" t="s">
        <v>98</v>
      </c>
      <c r="K12" s="3" t="s">
        <v>99</v>
      </c>
      <c r="L12" s="3" t="s">
        <v>93</v>
      </c>
      <c r="M12" s="4" t="s">
        <v>24</v>
      </c>
    </row>
    <row r="13" customFormat="false" ht="46.25" hidden="false" customHeight="false" outlineLevel="0" collapsed="false">
      <c r="A13" s="2" t="s">
        <v>100</v>
      </c>
      <c r="B13" s="3" t="s">
        <v>79</v>
      </c>
      <c r="C13" s="4" t="s">
        <v>15</v>
      </c>
      <c r="D13" s="4" t="s">
        <v>16</v>
      </c>
      <c r="E13" s="3" t="s">
        <v>101</v>
      </c>
      <c r="F13" s="2" t="s">
        <v>102</v>
      </c>
      <c r="G13" s="3" t="s">
        <v>103</v>
      </c>
      <c r="H13" s="3" t="s">
        <v>104</v>
      </c>
      <c r="I13" s="4" t="s">
        <v>83</v>
      </c>
      <c r="J13" s="3" t="s">
        <v>105</v>
      </c>
      <c r="K13" s="3" t="s">
        <v>106</v>
      </c>
      <c r="L13" s="3" t="s">
        <v>93</v>
      </c>
      <c r="M13" s="4" t="s">
        <v>24</v>
      </c>
    </row>
    <row r="14" customFormat="false" ht="35.05" hidden="false" customHeight="false" outlineLevel="0" collapsed="false">
      <c r="A14" s="2" t="s">
        <v>107</v>
      </c>
      <c r="B14" s="3" t="s">
        <v>79</v>
      </c>
      <c r="C14" s="4" t="s">
        <v>15</v>
      </c>
      <c r="D14" s="4" t="s">
        <v>16</v>
      </c>
      <c r="E14" s="3" t="s">
        <v>108</v>
      </c>
      <c r="F14" s="2" t="s">
        <v>108</v>
      </c>
      <c r="G14" s="3" t="s">
        <v>109</v>
      </c>
      <c r="H14" s="3" t="s">
        <v>110</v>
      </c>
      <c r="I14" s="4" t="s">
        <v>111</v>
      </c>
      <c r="J14" s="3" t="s">
        <v>112</v>
      </c>
      <c r="K14" s="3" t="s">
        <v>113</v>
      </c>
      <c r="L14" s="3" t="s">
        <v>114</v>
      </c>
      <c r="M14" s="4" t="s">
        <v>24</v>
      </c>
    </row>
    <row r="15" customFormat="false" ht="46.25" hidden="false" customHeight="false" outlineLevel="0" collapsed="false">
      <c r="A15" s="2" t="s">
        <v>115</v>
      </c>
      <c r="B15" s="3" t="s">
        <v>79</v>
      </c>
      <c r="C15" s="4" t="s">
        <v>15</v>
      </c>
      <c r="D15" s="4" t="s">
        <v>16</v>
      </c>
      <c r="E15" s="3" t="s">
        <v>116</v>
      </c>
      <c r="F15" s="2" t="s">
        <v>117</v>
      </c>
      <c r="G15" s="3" t="s">
        <v>118</v>
      </c>
      <c r="H15" s="3" t="s">
        <v>119</v>
      </c>
      <c r="I15" s="4" t="s">
        <v>111</v>
      </c>
      <c r="J15" s="3" t="s">
        <v>120</v>
      </c>
      <c r="K15" s="3" t="s">
        <v>121</v>
      </c>
      <c r="L15" s="3" t="s">
        <v>122</v>
      </c>
      <c r="M15" s="4" t="s">
        <v>24</v>
      </c>
    </row>
    <row r="16" customFormat="false" ht="23.85" hidden="false" customHeight="false" outlineLevel="0" collapsed="false">
      <c r="A16" s="2" t="s">
        <v>123</v>
      </c>
      <c r="B16" s="3" t="s">
        <v>124</v>
      </c>
      <c r="C16" s="4" t="s">
        <v>26</v>
      </c>
      <c r="D16" s="4" t="s">
        <v>57</v>
      </c>
      <c r="E16" s="3" t="s">
        <v>125</v>
      </c>
      <c r="F16" s="2" t="s">
        <v>126</v>
      </c>
      <c r="G16" s="3" t="s">
        <v>127</v>
      </c>
      <c r="H16" s="3" t="s">
        <v>128</v>
      </c>
      <c r="I16" s="4" t="s">
        <v>129</v>
      </c>
      <c r="J16" s="3" t="s">
        <v>130</v>
      </c>
      <c r="K16" s="3" t="s">
        <v>131</v>
      </c>
      <c r="L16" s="3" t="s">
        <v>23</v>
      </c>
      <c r="M16" s="4" t="s">
        <v>24</v>
      </c>
    </row>
    <row r="17" customFormat="false" ht="35.05" hidden="false" customHeight="false" outlineLevel="0" collapsed="false">
      <c r="A17" s="2" t="s">
        <v>132</v>
      </c>
      <c r="B17" s="3" t="s">
        <v>124</v>
      </c>
      <c r="C17" s="4" t="s">
        <v>26</v>
      </c>
      <c r="D17" s="4" t="s">
        <v>16</v>
      </c>
      <c r="E17" s="3" t="s">
        <v>133</v>
      </c>
      <c r="F17" s="2" t="s">
        <v>133</v>
      </c>
      <c r="G17" s="3" t="s">
        <v>134</v>
      </c>
      <c r="H17" s="3" t="s">
        <v>135</v>
      </c>
      <c r="I17" s="4" t="s">
        <v>129</v>
      </c>
      <c r="J17" s="3" t="s">
        <v>136</v>
      </c>
      <c r="K17" s="3" t="s">
        <v>137</v>
      </c>
      <c r="L17" s="3" t="s">
        <v>23</v>
      </c>
      <c r="M17" s="4" t="s">
        <v>24</v>
      </c>
    </row>
    <row r="18" customFormat="false" ht="23.85" hidden="false" customHeight="false" outlineLevel="0" collapsed="false">
      <c r="A18" s="2" t="s">
        <v>138</v>
      </c>
      <c r="B18" s="3" t="s">
        <v>124</v>
      </c>
      <c r="C18" s="4" t="s">
        <v>26</v>
      </c>
      <c r="D18" s="4" t="s">
        <v>57</v>
      </c>
      <c r="E18" s="3" t="s">
        <v>139</v>
      </c>
      <c r="F18" s="2" t="s">
        <v>139</v>
      </c>
      <c r="G18" s="3" t="s">
        <v>140</v>
      </c>
      <c r="H18" s="3" t="s">
        <v>141</v>
      </c>
      <c r="I18" s="4" t="s">
        <v>129</v>
      </c>
      <c r="J18" s="3" t="s">
        <v>142</v>
      </c>
      <c r="K18" s="3" t="s">
        <v>143</v>
      </c>
      <c r="L18" s="3" t="s">
        <v>23</v>
      </c>
      <c r="M18" s="4" t="s">
        <v>24</v>
      </c>
    </row>
    <row r="19" customFormat="false" ht="57.45" hidden="false" customHeight="false" outlineLevel="0" collapsed="false">
      <c r="A19" s="2" t="s">
        <v>144</v>
      </c>
      <c r="B19" s="3" t="s">
        <v>124</v>
      </c>
      <c r="C19" s="4" t="s">
        <v>26</v>
      </c>
      <c r="D19" s="4" t="s">
        <v>16</v>
      </c>
      <c r="E19" s="3" t="s">
        <v>145</v>
      </c>
      <c r="F19" s="2" t="s">
        <v>146</v>
      </c>
      <c r="G19" s="3" t="s">
        <v>147</v>
      </c>
      <c r="H19" s="3" t="s">
        <v>148</v>
      </c>
      <c r="I19" s="4" t="s">
        <v>129</v>
      </c>
      <c r="J19" s="3" t="s">
        <v>149</v>
      </c>
      <c r="K19" s="3" t="s">
        <v>150</v>
      </c>
      <c r="L19" s="3" t="s">
        <v>23</v>
      </c>
      <c r="M19" s="4" t="s">
        <v>24</v>
      </c>
    </row>
    <row r="20" customFormat="false" ht="35.05" hidden="false" customHeight="false" outlineLevel="0" collapsed="false">
      <c r="A20" s="2" t="s">
        <v>151</v>
      </c>
      <c r="B20" s="3" t="s">
        <v>124</v>
      </c>
      <c r="C20" s="4" t="s">
        <v>26</v>
      </c>
      <c r="D20" s="4" t="s">
        <v>57</v>
      </c>
      <c r="E20" s="3" t="s">
        <v>152</v>
      </c>
      <c r="F20" s="2" t="s">
        <v>152</v>
      </c>
      <c r="G20" s="3" t="s">
        <v>153</v>
      </c>
      <c r="H20" s="3" t="s">
        <v>154</v>
      </c>
      <c r="I20" s="4" t="s">
        <v>129</v>
      </c>
      <c r="J20" s="3" t="s">
        <v>155</v>
      </c>
      <c r="K20" s="3" t="s">
        <v>156</v>
      </c>
      <c r="L20" s="3" t="s">
        <v>23</v>
      </c>
      <c r="M20" s="4" t="s">
        <v>24</v>
      </c>
    </row>
    <row r="21" customFormat="false" ht="23.85" hidden="false" customHeight="false" outlineLevel="0" collapsed="false">
      <c r="A21" s="2" t="s">
        <v>157</v>
      </c>
      <c r="B21" s="3" t="s">
        <v>124</v>
      </c>
      <c r="C21" s="4" t="s">
        <v>15</v>
      </c>
      <c r="D21" s="4" t="s">
        <v>57</v>
      </c>
      <c r="E21" s="3" t="s">
        <v>158</v>
      </c>
      <c r="F21" s="2" t="s">
        <v>159</v>
      </c>
      <c r="G21" s="3" t="s">
        <v>160</v>
      </c>
      <c r="H21" s="3" t="s">
        <v>161</v>
      </c>
      <c r="I21" s="4" t="s">
        <v>129</v>
      </c>
      <c r="J21" s="3" t="s">
        <v>162</v>
      </c>
      <c r="K21" s="3" t="s">
        <v>163</v>
      </c>
      <c r="L21" s="3" t="s">
        <v>164</v>
      </c>
      <c r="M21" s="4" t="s">
        <v>70</v>
      </c>
    </row>
    <row r="22" customFormat="false" ht="35.05" hidden="false" customHeight="false" outlineLevel="0" collapsed="false">
      <c r="A22" s="2" t="s">
        <v>165</v>
      </c>
      <c r="B22" s="3" t="s">
        <v>166</v>
      </c>
      <c r="C22" s="4" t="s">
        <v>15</v>
      </c>
      <c r="D22" s="4" t="s">
        <v>16</v>
      </c>
      <c r="E22" s="3" t="s">
        <v>167</v>
      </c>
      <c r="F22" s="2" t="s">
        <v>167</v>
      </c>
      <c r="G22" s="3" t="s">
        <v>168</v>
      </c>
      <c r="H22" s="3" t="s">
        <v>169</v>
      </c>
      <c r="I22" s="4" t="s">
        <v>75</v>
      </c>
      <c r="J22" s="3" t="s">
        <v>170</v>
      </c>
      <c r="K22" s="3" t="s">
        <v>171</v>
      </c>
      <c r="L22" s="3" t="s">
        <v>23</v>
      </c>
      <c r="M22" s="4" t="s">
        <v>24</v>
      </c>
    </row>
    <row r="23" customFormat="false" ht="57.45" hidden="false" customHeight="false" outlineLevel="0" collapsed="false">
      <c r="A23" s="2" t="s">
        <v>172</v>
      </c>
      <c r="B23" s="3" t="s">
        <v>166</v>
      </c>
      <c r="C23" s="4" t="s">
        <v>15</v>
      </c>
      <c r="D23" s="4" t="s">
        <v>57</v>
      </c>
      <c r="E23" s="3" t="s">
        <v>173</v>
      </c>
      <c r="F23" s="2" t="s">
        <v>174</v>
      </c>
      <c r="G23" s="3" t="s">
        <v>175</v>
      </c>
      <c r="H23" s="3" t="s">
        <v>176</v>
      </c>
      <c r="I23" s="4" t="s">
        <v>75</v>
      </c>
      <c r="J23" s="3" t="s">
        <v>177</v>
      </c>
      <c r="K23" s="3" t="s">
        <v>178</v>
      </c>
      <c r="L23" s="3" t="s">
        <v>23</v>
      </c>
      <c r="M23" s="4" t="s">
        <v>24</v>
      </c>
    </row>
    <row r="24" customFormat="false" ht="23.85" hidden="false" customHeight="false" outlineLevel="0" collapsed="false">
      <c r="A24" s="2" t="s">
        <v>179</v>
      </c>
      <c r="B24" s="3" t="s">
        <v>166</v>
      </c>
      <c r="C24" s="4" t="s">
        <v>15</v>
      </c>
      <c r="D24" s="4" t="s">
        <v>57</v>
      </c>
      <c r="E24" s="3" t="s">
        <v>180</v>
      </c>
      <c r="F24" s="2" t="s">
        <v>181</v>
      </c>
      <c r="G24" s="3" t="s">
        <v>160</v>
      </c>
      <c r="H24" s="3" t="s">
        <v>182</v>
      </c>
      <c r="I24" s="4" t="s">
        <v>129</v>
      </c>
      <c r="J24" s="3" t="s">
        <v>183</v>
      </c>
      <c r="K24" s="3" t="s">
        <v>184</v>
      </c>
      <c r="L24" s="3" t="s">
        <v>185</v>
      </c>
      <c r="M24" s="4" t="s">
        <v>70</v>
      </c>
    </row>
    <row r="25" customFormat="false" ht="46.25" hidden="false" customHeight="false" outlineLevel="0" collapsed="false">
      <c r="A25" s="2" t="s">
        <v>186</v>
      </c>
      <c r="B25" s="3" t="s">
        <v>166</v>
      </c>
      <c r="C25" s="4" t="s">
        <v>15</v>
      </c>
      <c r="D25" s="4" t="s">
        <v>57</v>
      </c>
      <c r="E25" s="3" t="s">
        <v>187</v>
      </c>
      <c r="F25" s="2" t="s">
        <v>187</v>
      </c>
      <c r="G25" s="3" t="s">
        <v>188</v>
      </c>
      <c r="H25" s="3" t="s">
        <v>189</v>
      </c>
      <c r="I25" s="4" t="s">
        <v>129</v>
      </c>
      <c r="J25" s="3" t="s">
        <v>190</v>
      </c>
      <c r="K25" s="3" t="s">
        <v>191</v>
      </c>
      <c r="L25" s="3" t="s">
        <v>23</v>
      </c>
      <c r="M25" s="4" t="s">
        <v>24</v>
      </c>
    </row>
    <row r="26" customFormat="false" ht="46.25" hidden="false" customHeight="false" outlineLevel="0" collapsed="false">
      <c r="A26" s="2" t="s">
        <v>192</v>
      </c>
      <c r="B26" s="3" t="s">
        <v>193</v>
      </c>
      <c r="C26" s="4" t="s">
        <v>15</v>
      </c>
      <c r="D26" s="4" t="s">
        <v>57</v>
      </c>
      <c r="E26" s="3" t="s">
        <v>194</v>
      </c>
      <c r="F26" s="2" t="s">
        <v>195</v>
      </c>
      <c r="G26" s="3" t="s">
        <v>196</v>
      </c>
      <c r="H26" s="3" t="s">
        <v>197</v>
      </c>
      <c r="I26" s="4" t="s">
        <v>198</v>
      </c>
      <c r="J26" s="3" t="s">
        <v>199</v>
      </c>
      <c r="K26" s="3" t="s">
        <v>200</v>
      </c>
      <c r="L26" s="3" t="s">
        <v>23</v>
      </c>
      <c r="M26" s="4" t="s">
        <v>24</v>
      </c>
    </row>
    <row r="27" customFormat="false" ht="35.05" hidden="false" customHeight="false" outlineLevel="0" collapsed="false">
      <c r="A27" s="2" t="s">
        <v>201</v>
      </c>
      <c r="B27" s="3" t="s">
        <v>193</v>
      </c>
      <c r="C27" s="4" t="s">
        <v>33</v>
      </c>
      <c r="D27" s="4" t="s">
        <v>34</v>
      </c>
      <c r="E27" s="3" t="s">
        <v>202</v>
      </c>
      <c r="F27" s="2" t="s">
        <v>36</v>
      </c>
      <c r="G27" s="3" t="s">
        <v>36</v>
      </c>
      <c r="H27" s="3" t="s">
        <v>203</v>
      </c>
      <c r="I27" s="4" t="s">
        <v>39</v>
      </c>
      <c r="J27" s="3" t="s">
        <v>204</v>
      </c>
      <c r="K27" s="3" t="s">
        <v>36</v>
      </c>
      <c r="L27" s="3" t="s">
        <v>36</v>
      </c>
      <c r="M27" s="4" t="s">
        <v>24</v>
      </c>
    </row>
    <row r="28" customFormat="false" ht="23.85" hidden="false" customHeight="false" outlineLevel="0" collapsed="false">
      <c r="A28" s="2" t="s">
        <v>205</v>
      </c>
      <c r="B28" s="3" t="s">
        <v>193</v>
      </c>
      <c r="C28" s="4" t="s">
        <v>33</v>
      </c>
      <c r="D28" s="4" t="s">
        <v>34</v>
      </c>
      <c r="E28" s="3" t="s">
        <v>206</v>
      </c>
      <c r="F28" s="2" t="s">
        <v>36</v>
      </c>
      <c r="G28" s="3" t="s">
        <v>36</v>
      </c>
      <c r="H28" s="3" t="s">
        <v>207</v>
      </c>
      <c r="I28" s="4" t="s">
        <v>39</v>
      </c>
      <c r="J28" s="3" t="s">
        <v>208</v>
      </c>
      <c r="K28" s="3" t="s">
        <v>36</v>
      </c>
      <c r="L28" s="3" t="s">
        <v>36</v>
      </c>
      <c r="M28" s="4" t="s">
        <v>70</v>
      </c>
    </row>
    <row r="29" customFormat="false" ht="46.25" hidden="false" customHeight="false" outlineLevel="0" collapsed="false">
      <c r="A29" s="2" t="s">
        <v>209</v>
      </c>
      <c r="B29" s="3" t="s">
        <v>193</v>
      </c>
      <c r="C29" s="4" t="s">
        <v>26</v>
      </c>
      <c r="D29" s="4" t="s">
        <v>16</v>
      </c>
      <c r="E29" s="3" t="s">
        <v>210</v>
      </c>
      <c r="F29" s="2" t="s">
        <v>210</v>
      </c>
      <c r="G29" s="3" t="s">
        <v>211</v>
      </c>
      <c r="H29" s="3" t="s">
        <v>212</v>
      </c>
      <c r="I29" s="4" t="s">
        <v>213</v>
      </c>
      <c r="J29" s="3" t="s">
        <v>214</v>
      </c>
      <c r="K29" s="3" t="s">
        <v>215</v>
      </c>
      <c r="L29" s="3" t="s">
        <v>23</v>
      </c>
      <c r="M29" s="4" t="s">
        <v>24</v>
      </c>
    </row>
    <row r="30" customFormat="false" ht="35.05" hidden="false" customHeight="false" outlineLevel="0" collapsed="false">
      <c r="A30" s="2" t="s">
        <v>216</v>
      </c>
      <c r="B30" s="3" t="s">
        <v>193</v>
      </c>
      <c r="C30" s="4" t="s">
        <v>15</v>
      </c>
      <c r="D30" s="4" t="s">
        <v>57</v>
      </c>
      <c r="E30" s="3" t="s">
        <v>217</v>
      </c>
      <c r="F30" s="2" t="s">
        <v>218</v>
      </c>
      <c r="G30" s="3" t="s">
        <v>160</v>
      </c>
      <c r="H30" s="3" t="s">
        <v>219</v>
      </c>
      <c r="I30" s="4" t="s">
        <v>213</v>
      </c>
      <c r="J30" s="3" t="s">
        <v>220</v>
      </c>
      <c r="K30" s="3" t="s">
        <v>221</v>
      </c>
      <c r="L30" s="3" t="s">
        <v>222</v>
      </c>
      <c r="M30" s="4" t="s">
        <v>70</v>
      </c>
    </row>
    <row r="31" customFormat="false" ht="35.05" hidden="false" customHeight="false" outlineLevel="0" collapsed="false">
      <c r="A31" s="2" t="s">
        <v>223</v>
      </c>
      <c r="B31" s="3" t="s">
        <v>224</v>
      </c>
      <c r="C31" s="4" t="s">
        <v>26</v>
      </c>
      <c r="D31" s="4" t="s">
        <v>16</v>
      </c>
      <c r="E31" s="3" t="s">
        <v>225</v>
      </c>
      <c r="F31" s="2" t="s">
        <v>225</v>
      </c>
      <c r="G31" s="3" t="s">
        <v>160</v>
      </c>
      <c r="H31" s="3" t="s">
        <v>226</v>
      </c>
      <c r="I31" s="4" t="s">
        <v>227</v>
      </c>
      <c r="J31" s="3" t="s">
        <v>228</v>
      </c>
      <c r="K31" s="3" t="s">
        <v>229</v>
      </c>
      <c r="L31" s="3" t="s">
        <v>23</v>
      </c>
      <c r="M31" s="4" t="s">
        <v>24</v>
      </c>
    </row>
    <row r="32" customFormat="false" ht="57.45" hidden="false" customHeight="false" outlineLevel="0" collapsed="false">
      <c r="A32" s="2" t="s">
        <v>230</v>
      </c>
      <c r="B32" s="3" t="s">
        <v>42</v>
      </c>
      <c r="C32" s="4" t="s">
        <v>231</v>
      </c>
      <c r="D32" s="4" t="s">
        <v>16</v>
      </c>
      <c r="E32" s="3" t="s">
        <v>36</v>
      </c>
      <c r="F32" s="2" t="s">
        <v>232</v>
      </c>
      <c r="G32" s="3" t="s">
        <v>233</v>
      </c>
      <c r="H32" s="3" t="s">
        <v>234</v>
      </c>
      <c r="I32" s="4" t="s">
        <v>198</v>
      </c>
      <c r="J32" s="3" t="s">
        <v>235</v>
      </c>
      <c r="K32" s="3" t="s">
        <v>236</v>
      </c>
      <c r="L32" s="3" t="s">
        <v>237</v>
      </c>
      <c r="M32" s="4" t="s">
        <v>24</v>
      </c>
    </row>
    <row r="33" customFormat="false" ht="35.05" hidden="false" customHeight="false" outlineLevel="0" collapsed="false">
      <c r="A33" s="2" t="s">
        <v>238</v>
      </c>
      <c r="B33" s="3" t="s">
        <v>42</v>
      </c>
      <c r="C33" s="4" t="s">
        <v>231</v>
      </c>
      <c r="D33" s="4" t="s">
        <v>16</v>
      </c>
      <c r="E33" s="3" t="s">
        <v>36</v>
      </c>
      <c r="F33" s="2" t="s">
        <v>239</v>
      </c>
      <c r="G33" s="3" t="s">
        <v>240</v>
      </c>
      <c r="H33" s="3" t="s">
        <v>241</v>
      </c>
      <c r="I33" s="4" t="s">
        <v>198</v>
      </c>
      <c r="J33" s="3" t="s">
        <v>242</v>
      </c>
      <c r="K33" s="3" t="s">
        <v>243</v>
      </c>
      <c r="L33" s="3" t="s">
        <v>244</v>
      </c>
      <c r="M33" s="4" t="s">
        <v>24</v>
      </c>
    </row>
    <row r="34" customFormat="false" ht="46.25" hidden="false" customHeight="false" outlineLevel="0" collapsed="false">
      <c r="A34" s="2" t="s">
        <v>245</v>
      </c>
      <c r="B34" s="3" t="s">
        <v>246</v>
      </c>
      <c r="C34" s="4" t="s">
        <v>231</v>
      </c>
      <c r="D34" s="4" t="s">
        <v>16</v>
      </c>
      <c r="E34" s="3" t="s">
        <v>36</v>
      </c>
      <c r="F34" s="2" t="s">
        <v>247</v>
      </c>
      <c r="G34" s="3" t="s">
        <v>248</v>
      </c>
      <c r="H34" s="3" t="s">
        <v>249</v>
      </c>
      <c r="I34" s="4" t="s">
        <v>198</v>
      </c>
      <c r="J34" s="3" t="s">
        <v>250</v>
      </c>
      <c r="K34" s="3" t="s">
        <v>251</v>
      </c>
      <c r="L34" s="3" t="s">
        <v>252</v>
      </c>
      <c r="M34" s="4" t="s">
        <v>24</v>
      </c>
    </row>
    <row r="35" customFormat="false" ht="35.05" hidden="false" customHeight="false" outlineLevel="0" collapsed="false">
      <c r="A35" s="2" t="s">
        <v>253</v>
      </c>
      <c r="B35" s="3" t="s">
        <v>79</v>
      </c>
      <c r="C35" s="4" t="s">
        <v>231</v>
      </c>
      <c r="D35" s="4" t="s">
        <v>57</v>
      </c>
      <c r="E35" s="3" t="s">
        <v>36</v>
      </c>
      <c r="F35" s="2" t="s">
        <v>254</v>
      </c>
      <c r="G35" s="3" t="s">
        <v>255</v>
      </c>
      <c r="H35" s="3" t="s">
        <v>256</v>
      </c>
      <c r="I35" s="4" t="s">
        <v>83</v>
      </c>
      <c r="J35" s="3" t="s">
        <v>257</v>
      </c>
      <c r="K35" s="3" t="s">
        <v>258</v>
      </c>
      <c r="L35" s="3" t="s">
        <v>259</v>
      </c>
      <c r="M35" s="4" t="s">
        <v>24</v>
      </c>
    </row>
    <row r="36" customFormat="false" ht="35.05" hidden="false" customHeight="false" outlineLevel="0" collapsed="false">
      <c r="A36" s="2" t="s">
        <v>260</v>
      </c>
      <c r="B36" s="3" t="s">
        <v>14</v>
      </c>
      <c r="C36" s="4" t="s">
        <v>231</v>
      </c>
      <c r="D36" s="4" t="s">
        <v>16</v>
      </c>
      <c r="E36" s="3" t="s">
        <v>36</v>
      </c>
      <c r="F36" s="2" t="s">
        <v>261</v>
      </c>
      <c r="G36" s="3" t="s">
        <v>262</v>
      </c>
      <c r="H36" s="3" t="s">
        <v>263</v>
      </c>
      <c r="I36" s="4" t="s">
        <v>20</v>
      </c>
      <c r="J36" s="3" t="s">
        <v>264</v>
      </c>
      <c r="K36" s="3" t="s">
        <v>265</v>
      </c>
      <c r="L36" s="3" t="s">
        <v>266</v>
      </c>
      <c r="M36" s="4" t="s">
        <v>24</v>
      </c>
    </row>
    <row r="37" customFormat="false" ht="46.25" hidden="false" customHeight="false" outlineLevel="0" collapsed="false">
      <c r="A37" s="2" t="s">
        <v>267</v>
      </c>
      <c r="B37" s="3" t="s">
        <v>124</v>
      </c>
      <c r="C37" s="4" t="s">
        <v>231</v>
      </c>
      <c r="D37" s="4" t="s">
        <v>16</v>
      </c>
      <c r="E37" s="3" t="s">
        <v>36</v>
      </c>
      <c r="F37" s="2" t="s">
        <v>268</v>
      </c>
      <c r="G37" s="3" t="s">
        <v>269</v>
      </c>
      <c r="H37" s="3" t="s">
        <v>270</v>
      </c>
      <c r="I37" s="4" t="s">
        <v>213</v>
      </c>
      <c r="J37" s="3" t="s">
        <v>271</v>
      </c>
      <c r="K37" s="3" t="s">
        <v>272</v>
      </c>
      <c r="L37" s="3" t="s">
        <v>273</v>
      </c>
      <c r="M37" s="4" t="s">
        <v>70</v>
      </c>
    </row>
    <row r="38" customFormat="false" ht="35.05" hidden="false" customHeight="false" outlineLevel="0" collapsed="false">
      <c r="A38" s="2" t="s">
        <v>274</v>
      </c>
      <c r="B38" s="3" t="s">
        <v>224</v>
      </c>
      <c r="C38" s="4" t="s">
        <v>231</v>
      </c>
      <c r="D38" s="4" t="s">
        <v>16</v>
      </c>
      <c r="E38" s="3" t="s">
        <v>36</v>
      </c>
      <c r="F38" s="2" t="s">
        <v>275</v>
      </c>
      <c r="G38" s="3" t="s">
        <v>276</v>
      </c>
      <c r="H38" s="3" t="s">
        <v>277</v>
      </c>
      <c r="I38" s="4" t="s">
        <v>278</v>
      </c>
      <c r="J38" s="3" t="s">
        <v>279</v>
      </c>
      <c r="K38" s="3" t="s">
        <v>280</v>
      </c>
      <c r="L38" s="3" t="s">
        <v>281</v>
      </c>
      <c r="M38" s="4" t="s">
        <v>24</v>
      </c>
    </row>
    <row r="39" customFormat="false" ht="68.65" hidden="false" customHeight="false" outlineLevel="0" collapsed="false">
      <c r="A39" s="2" t="s">
        <v>282</v>
      </c>
      <c r="B39" s="3" t="s">
        <v>224</v>
      </c>
      <c r="C39" s="4" t="s">
        <v>231</v>
      </c>
      <c r="D39" s="4" t="s">
        <v>16</v>
      </c>
      <c r="E39" s="3" t="s">
        <v>36</v>
      </c>
      <c r="F39" s="2" t="s">
        <v>283</v>
      </c>
      <c r="G39" s="3" t="s">
        <v>284</v>
      </c>
      <c r="H39" s="3" t="s">
        <v>285</v>
      </c>
      <c r="I39" s="4" t="s">
        <v>227</v>
      </c>
      <c r="J39" s="3" t="s">
        <v>286</v>
      </c>
      <c r="K39" s="3" t="s">
        <v>287</v>
      </c>
      <c r="L39" s="3" t="s">
        <v>288</v>
      </c>
      <c r="M39" s="4" t="s">
        <v>24</v>
      </c>
    </row>
    <row r="40" customFormat="false" ht="35.05" hidden="false" customHeight="false" outlineLevel="0" collapsed="false">
      <c r="A40" s="2" t="s">
        <v>289</v>
      </c>
      <c r="B40" s="3" t="s">
        <v>224</v>
      </c>
      <c r="C40" s="4" t="s">
        <v>231</v>
      </c>
      <c r="D40" s="4" t="s">
        <v>57</v>
      </c>
      <c r="E40" s="3" t="s">
        <v>36</v>
      </c>
      <c r="F40" s="2" t="s">
        <v>290</v>
      </c>
      <c r="G40" s="3" t="s">
        <v>291</v>
      </c>
      <c r="H40" s="3" t="s">
        <v>292</v>
      </c>
      <c r="I40" s="4" t="s">
        <v>227</v>
      </c>
      <c r="J40" s="3" t="s">
        <v>293</v>
      </c>
      <c r="K40" s="3" t="s">
        <v>294</v>
      </c>
      <c r="L40" s="3" t="s">
        <v>295</v>
      </c>
      <c r="M40" s="4" t="s">
        <v>70</v>
      </c>
    </row>
    <row r="41" customFormat="false" ht="46.25" hidden="false" customHeight="false" outlineLevel="0" collapsed="false">
      <c r="A41" s="2" t="s">
        <v>296</v>
      </c>
      <c r="B41" s="3" t="s">
        <v>246</v>
      </c>
      <c r="C41" s="4" t="s">
        <v>231</v>
      </c>
      <c r="D41" s="4" t="s">
        <v>16</v>
      </c>
      <c r="E41" s="3" t="s">
        <v>36</v>
      </c>
      <c r="F41" s="2" t="s">
        <v>297</v>
      </c>
      <c r="G41" s="3" t="s">
        <v>298</v>
      </c>
      <c r="H41" s="3" t="s">
        <v>256</v>
      </c>
      <c r="I41" s="4" t="s">
        <v>198</v>
      </c>
      <c r="J41" s="3" t="s">
        <v>299</v>
      </c>
      <c r="K41" s="3" t="s">
        <v>300</v>
      </c>
      <c r="L41" s="3" t="s">
        <v>301</v>
      </c>
      <c r="M41" s="4" t="s">
        <v>24</v>
      </c>
    </row>
    <row r="42" customFormat="false" ht="35.05" hidden="false" customHeight="false" outlineLevel="0" collapsed="false">
      <c r="A42" s="2" t="s">
        <v>302</v>
      </c>
      <c r="B42" s="3" t="s">
        <v>193</v>
      </c>
      <c r="C42" s="4" t="s">
        <v>231</v>
      </c>
      <c r="D42" s="4" t="s">
        <v>57</v>
      </c>
      <c r="E42" s="3" t="s">
        <v>36</v>
      </c>
      <c r="F42" s="2" t="s">
        <v>303</v>
      </c>
      <c r="G42" s="3" t="s">
        <v>304</v>
      </c>
      <c r="H42" s="3" t="s">
        <v>305</v>
      </c>
      <c r="I42" s="4" t="s">
        <v>306</v>
      </c>
      <c r="J42" s="3" t="s">
        <v>307</v>
      </c>
      <c r="K42" s="3" t="s">
        <v>308</v>
      </c>
      <c r="L42" s="3" t="s">
        <v>23</v>
      </c>
      <c r="M42" s="4" t="s">
        <v>24</v>
      </c>
    </row>
    <row r="43" customFormat="false" ht="35.05" hidden="false" customHeight="false" outlineLevel="0" collapsed="false">
      <c r="A43" s="2" t="s">
        <v>309</v>
      </c>
      <c r="B43" s="3" t="s">
        <v>193</v>
      </c>
      <c r="C43" s="4" t="s">
        <v>231</v>
      </c>
      <c r="D43" s="4" t="s">
        <v>57</v>
      </c>
      <c r="E43" s="3" t="s">
        <v>36</v>
      </c>
      <c r="F43" s="2" t="s">
        <v>310</v>
      </c>
      <c r="G43" s="3" t="s">
        <v>311</v>
      </c>
      <c r="H43" s="3" t="s">
        <v>256</v>
      </c>
      <c r="I43" s="4" t="s">
        <v>75</v>
      </c>
      <c r="J43" s="3" t="s">
        <v>312</v>
      </c>
      <c r="K43" s="3" t="s">
        <v>313</v>
      </c>
      <c r="L43" s="3" t="s">
        <v>23</v>
      </c>
      <c r="M43" s="4" t="s">
        <v>24</v>
      </c>
    </row>
    <row r="44" customFormat="false" ht="35.05" hidden="false" customHeight="false" outlineLevel="0" collapsed="false">
      <c r="A44" s="2" t="s">
        <v>314</v>
      </c>
      <c r="B44" s="3" t="s">
        <v>193</v>
      </c>
      <c r="C44" s="4" t="s">
        <v>231</v>
      </c>
      <c r="D44" s="4" t="s">
        <v>16</v>
      </c>
      <c r="E44" s="3" t="s">
        <v>36</v>
      </c>
      <c r="F44" s="2" t="s">
        <v>315</v>
      </c>
      <c r="G44" s="3" t="s">
        <v>316</v>
      </c>
      <c r="H44" s="3" t="s">
        <v>317</v>
      </c>
      <c r="I44" s="4" t="s">
        <v>318</v>
      </c>
      <c r="J44" s="3" t="s">
        <v>319</v>
      </c>
      <c r="K44" s="3" t="s">
        <v>320</v>
      </c>
      <c r="L44" s="3" t="s">
        <v>23</v>
      </c>
      <c r="M44" s="4" t="s">
        <v>24</v>
      </c>
    </row>
    <row r="45" customFormat="false" ht="23.85" hidden="false" customHeight="false" outlineLevel="0" collapsed="false">
      <c r="A45" s="2" t="s">
        <v>321</v>
      </c>
      <c r="B45" s="3" t="s">
        <v>322</v>
      </c>
      <c r="C45" s="4" t="s">
        <v>231</v>
      </c>
      <c r="D45" s="4" t="s">
        <v>57</v>
      </c>
      <c r="E45" s="3" t="s">
        <v>36</v>
      </c>
      <c r="F45" s="2" t="s">
        <v>323</v>
      </c>
      <c r="G45" s="3" t="s">
        <v>324</v>
      </c>
      <c r="H45" s="3" t="s">
        <v>325</v>
      </c>
      <c r="I45" s="4" t="s">
        <v>326</v>
      </c>
      <c r="J45" s="3" t="s">
        <v>327</v>
      </c>
      <c r="K45" s="3" t="s">
        <v>328</v>
      </c>
      <c r="L45" s="3" t="s">
        <v>329</v>
      </c>
      <c r="M45" s="4" t="s">
        <v>24</v>
      </c>
    </row>
    <row r="46" customFormat="false" ht="23.85" hidden="false" customHeight="false" outlineLevel="0" collapsed="false">
      <c r="A46" s="2" t="s">
        <v>330</v>
      </c>
      <c r="B46" s="3" t="s">
        <v>322</v>
      </c>
      <c r="C46" s="4" t="s">
        <v>231</v>
      </c>
      <c r="D46" s="4" t="s">
        <v>16</v>
      </c>
      <c r="E46" s="3" t="s">
        <v>36</v>
      </c>
      <c r="F46" s="2" t="s">
        <v>331</v>
      </c>
      <c r="G46" s="3" t="s">
        <v>291</v>
      </c>
      <c r="H46" s="3" t="s">
        <v>332</v>
      </c>
      <c r="I46" s="4" t="s">
        <v>326</v>
      </c>
      <c r="J46" s="3" t="s">
        <v>333</v>
      </c>
      <c r="K46" s="3" t="s">
        <v>334</v>
      </c>
      <c r="L46" s="3" t="s">
        <v>329</v>
      </c>
      <c r="M46" s="4" t="s">
        <v>70</v>
      </c>
    </row>
    <row r="47" customFormat="false" ht="35.05" hidden="false" customHeight="false" outlineLevel="0" collapsed="false">
      <c r="A47" s="2" t="s">
        <v>335</v>
      </c>
      <c r="B47" s="3" t="s">
        <v>322</v>
      </c>
      <c r="C47" s="4" t="s">
        <v>231</v>
      </c>
      <c r="D47" s="4" t="s">
        <v>16</v>
      </c>
      <c r="E47" s="3" t="s">
        <v>36</v>
      </c>
      <c r="F47" s="2" t="s">
        <v>336</v>
      </c>
      <c r="G47" s="3" t="s">
        <v>337</v>
      </c>
      <c r="H47" s="3" t="s">
        <v>256</v>
      </c>
      <c r="I47" s="4" t="s">
        <v>318</v>
      </c>
      <c r="J47" s="3" t="s">
        <v>338</v>
      </c>
      <c r="K47" s="3" t="s">
        <v>339</v>
      </c>
      <c r="L47" s="3" t="s">
        <v>329</v>
      </c>
      <c r="M47" s="4" t="s">
        <v>24</v>
      </c>
    </row>
    <row r="48" customFormat="false" ht="46.25" hidden="false" customHeight="false" outlineLevel="0" collapsed="false">
      <c r="A48" s="2" t="s">
        <v>340</v>
      </c>
      <c r="B48" s="3" t="s">
        <v>322</v>
      </c>
      <c r="C48" s="4" t="s">
        <v>231</v>
      </c>
      <c r="D48" s="4" t="s">
        <v>57</v>
      </c>
      <c r="E48" s="3" t="s">
        <v>36</v>
      </c>
      <c r="F48" s="2" t="s">
        <v>341</v>
      </c>
      <c r="G48" s="3" t="s">
        <v>342</v>
      </c>
      <c r="H48" s="3" t="s">
        <v>343</v>
      </c>
      <c r="I48" s="4" t="s">
        <v>227</v>
      </c>
      <c r="J48" s="3" t="s">
        <v>344</v>
      </c>
      <c r="K48" s="3" t="s">
        <v>345</v>
      </c>
      <c r="L48" s="3" t="s">
        <v>329</v>
      </c>
      <c r="M48" s="4" t="s">
        <v>24</v>
      </c>
    </row>
    <row r="49" customFormat="false" ht="35.05" hidden="false" customHeight="false" outlineLevel="0" collapsed="false">
      <c r="A49" s="2" t="s">
        <v>346</v>
      </c>
      <c r="B49" s="3" t="s">
        <v>322</v>
      </c>
      <c r="C49" s="4" t="s">
        <v>231</v>
      </c>
      <c r="D49" s="4" t="s">
        <v>16</v>
      </c>
      <c r="E49" s="3" t="s">
        <v>36</v>
      </c>
      <c r="F49" s="2" t="s">
        <v>347</v>
      </c>
      <c r="G49" s="3" t="s">
        <v>348</v>
      </c>
      <c r="H49" s="3" t="s">
        <v>349</v>
      </c>
      <c r="I49" s="4" t="s">
        <v>350</v>
      </c>
      <c r="J49" s="3" t="s">
        <v>351</v>
      </c>
      <c r="K49" s="3" t="s">
        <v>352</v>
      </c>
      <c r="L49" s="3" t="s">
        <v>353</v>
      </c>
      <c r="M49" s="4" t="s">
        <v>70</v>
      </c>
    </row>
  </sheetData>
  <autoFilter ref="A1:M49"/>
  <conditionalFormatting sqref="C2:C60">
    <cfRule type="cellIs" priority="2" operator="equal" aboveAverage="0" equalAverage="0" bottom="0" percent="0" rank="0" text="" dxfId="16">
      <formula>"Mantener"</formula>
    </cfRule>
    <cfRule type="cellIs" priority="3" operator="equal" aboveAverage="0" equalAverage="0" bottom="0" percent="0" rank="0" text="" dxfId="17">
      <formula>"Cambiar"</formula>
    </cfRule>
    <cfRule type="cellIs" priority="4" operator="equal" aboveAverage="0" equalAverage="0" bottom="0" percent="0" rank="0" text="" dxfId="18">
      <formula>"Quitar"</formula>
    </cfRule>
    <cfRule type="cellIs" priority="5" operator="equal" aboveAverage="0" equalAverage="0" bottom="0" percent="0" rank="0" text="" dxfId="19">
      <formula>"Agregar"</formula>
    </cfRule>
  </conditionalFormatting>
  <conditionalFormatting sqref="D2:D60">
    <cfRule type="cellIs" priority="6" operator="equal" aboveAverage="0" equalAverage="0" bottom="0" percent="0" rank="0" text="" dxfId="20">
      <formula>"Alta"</formula>
    </cfRule>
    <cfRule type="cellIs" priority="7" operator="equal" aboveAverage="0" equalAverage="0" bottom="0" percent="0" rank="0" text="" dxfId="21">
      <formula>"Media"</formula>
    </cfRule>
    <cfRule type="cellIs" priority="8" operator="equal" aboveAverage="0" equalAverage="0" bottom="0" percent="0" rank="0" text="" dxfId="22">
      <formula>"Baja"</formula>
    </cfRule>
  </conditionalFormatting>
  <dataValidations count="3">
    <dataValidation allowBlank="true" errorStyle="stop" operator="between" showDropDown="false" showErrorMessage="false" showInputMessage="false" sqref="C2:C60" type="list">
      <formula1>"Mantener,Cambiar,Quitar,Agregar"</formula1>
      <formula2>0</formula2>
    </dataValidation>
    <dataValidation allowBlank="true" errorStyle="stop" operator="between" showDropDown="false" showErrorMessage="false" showInputMessage="false" sqref="D2:D60" type="list">
      <formula1>"Alta,Media,Baja"</formula1>
      <formula2>0</formula2>
    </dataValidation>
    <dataValidation allowBlank="true" errorStyle="stop" operator="between" showDropDown="false" showErrorMessage="false" showInputMessage="false" sqref="M2:M60"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8"/>
    <col collapsed="false" customWidth="true" hidden="false" outlineLevel="0" max="4" min="4" style="0" width="38"/>
    <col collapsed="false" customWidth="true" hidden="false" outlineLevel="0" max="5" min="5" style="0" width="30"/>
    <col collapsed="false" customWidth="true" hidden="false" outlineLevel="0" max="6" min="6" style="0" width="34"/>
    <col collapsed="false" customWidth="true" hidden="false" outlineLevel="0" max="7" min="7" style="0" width="20"/>
    <col collapsed="false" customWidth="true" hidden="false" outlineLevel="0" max="8" min="8" style="0" width="16"/>
    <col collapsed="false" customWidth="true" hidden="false" outlineLevel="0" max="9" min="9" style="0" width="12"/>
  </cols>
  <sheetData>
    <row r="1" customFormat="false" ht="30" hidden="false" customHeight="true" outlineLevel="0" collapsed="false">
      <c r="A1" s="1" t="s">
        <v>8</v>
      </c>
      <c r="B1" s="1" t="s">
        <v>354</v>
      </c>
      <c r="C1" s="1" t="s">
        <v>355</v>
      </c>
      <c r="D1" s="1" t="s">
        <v>356</v>
      </c>
      <c r="E1" s="1" t="s">
        <v>357</v>
      </c>
      <c r="F1" s="1" t="s">
        <v>358</v>
      </c>
      <c r="G1" s="1" t="s">
        <v>359</v>
      </c>
      <c r="H1" s="1" t="s">
        <v>360</v>
      </c>
      <c r="I1" s="1" t="s">
        <v>361</v>
      </c>
    </row>
    <row r="2" customFormat="false" ht="23.85" hidden="false" customHeight="false" outlineLevel="0" collapsed="false">
      <c r="A2" s="2" t="s">
        <v>47</v>
      </c>
      <c r="B2" s="3" t="s">
        <v>362</v>
      </c>
      <c r="C2" s="3" t="s">
        <v>363</v>
      </c>
      <c r="D2" s="3" t="s">
        <v>364</v>
      </c>
      <c r="E2" s="3" t="s">
        <v>365</v>
      </c>
      <c r="F2" s="3" t="s">
        <v>366</v>
      </c>
      <c r="G2" s="3" t="s">
        <v>367</v>
      </c>
      <c r="H2" s="3" t="s">
        <v>367</v>
      </c>
      <c r="I2" s="5" t="n">
        <f aca="false">SUMPRODUCT(--ISNUMBER(SEARCH($A2,Preguntas!$I$2:$I$60)))</f>
        <v>4</v>
      </c>
    </row>
    <row r="3" customFormat="false" ht="35.05" hidden="false" customHeight="false" outlineLevel="0" collapsed="false">
      <c r="A3" s="2" t="s">
        <v>83</v>
      </c>
      <c r="B3" s="3" t="s">
        <v>368</v>
      </c>
      <c r="C3" s="3" t="s">
        <v>369</v>
      </c>
      <c r="D3" s="3" t="s">
        <v>370</v>
      </c>
      <c r="E3" s="3" t="s">
        <v>371</v>
      </c>
      <c r="F3" s="3" t="s">
        <v>372</v>
      </c>
      <c r="G3" s="3" t="s">
        <v>373</v>
      </c>
      <c r="H3" s="3" t="s">
        <v>367</v>
      </c>
      <c r="I3" s="5" t="n">
        <f aca="false">SUMPRODUCT(--ISNUMBER(SEARCH($A3,Preguntas!$I$2:$I$60)))</f>
        <v>5</v>
      </c>
    </row>
    <row r="4" customFormat="false" ht="23.85" hidden="false" customHeight="false" outlineLevel="0" collapsed="false">
      <c r="A4" s="2" t="s">
        <v>111</v>
      </c>
      <c r="B4" s="3" t="s">
        <v>374</v>
      </c>
      <c r="C4" s="3" t="s">
        <v>375</v>
      </c>
      <c r="D4" s="3" t="s">
        <v>376</v>
      </c>
      <c r="E4" s="3" t="s">
        <v>377</v>
      </c>
      <c r="F4" s="3" t="s">
        <v>378</v>
      </c>
      <c r="G4" s="3" t="s">
        <v>379</v>
      </c>
      <c r="H4" s="3" t="s">
        <v>367</v>
      </c>
      <c r="I4" s="5" t="n">
        <f aca="false">SUMPRODUCT(--ISNUMBER(SEARCH($A4,Preguntas!$I$2:$I$60)))</f>
        <v>2</v>
      </c>
    </row>
    <row r="5" customFormat="false" ht="23.85" hidden="false" customHeight="false" outlineLevel="0" collapsed="false">
      <c r="A5" s="2" t="s">
        <v>129</v>
      </c>
      <c r="B5" s="3" t="s">
        <v>380</v>
      </c>
      <c r="C5" s="3" t="s">
        <v>381</v>
      </c>
      <c r="D5" s="3" t="s">
        <v>382</v>
      </c>
      <c r="E5" s="3" t="s">
        <v>383</v>
      </c>
      <c r="F5" s="3" t="s">
        <v>384</v>
      </c>
      <c r="G5" s="3" t="s">
        <v>367</v>
      </c>
      <c r="H5" s="3" t="s">
        <v>367</v>
      </c>
      <c r="I5" s="5" t="n">
        <f aca="false">SUMPRODUCT(--ISNUMBER(SEARCH($A5,Preguntas!$I$2:$I$60)))</f>
        <v>8</v>
      </c>
    </row>
    <row r="6" customFormat="false" ht="35.05" hidden="false" customHeight="false" outlineLevel="0" collapsed="false">
      <c r="A6" s="2" t="s">
        <v>75</v>
      </c>
      <c r="B6" s="3" t="s">
        <v>385</v>
      </c>
      <c r="C6" s="3" t="s">
        <v>386</v>
      </c>
      <c r="D6" s="3" t="s">
        <v>387</v>
      </c>
      <c r="E6" s="3" t="s">
        <v>388</v>
      </c>
      <c r="F6" s="3" t="s">
        <v>389</v>
      </c>
      <c r="G6" s="3" t="s">
        <v>367</v>
      </c>
      <c r="H6" s="3" t="s">
        <v>367</v>
      </c>
      <c r="I6" s="5" t="n">
        <f aca="false">SUMPRODUCT(--ISNUMBER(SEARCH($A6,Preguntas!$I$2:$I$60)))</f>
        <v>4</v>
      </c>
    </row>
    <row r="7" customFormat="false" ht="23.85" hidden="false" customHeight="false" outlineLevel="0" collapsed="false">
      <c r="A7" s="2" t="s">
        <v>198</v>
      </c>
      <c r="B7" s="3" t="s">
        <v>390</v>
      </c>
      <c r="C7" s="3" t="s">
        <v>391</v>
      </c>
      <c r="D7" s="3" t="s">
        <v>392</v>
      </c>
      <c r="E7" s="3" t="s">
        <v>393</v>
      </c>
      <c r="F7" s="3" t="s">
        <v>394</v>
      </c>
      <c r="G7" s="3" t="s">
        <v>395</v>
      </c>
      <c r="H7" s="3" t="s">
        <v>367</v>
      </c>
      <c r="I7" s="5" t="n">
        <f aca="false">SUMPRODUCT(--ISNUMBER(SEARCH($A7,Preguntas!$I$2:$I$60)))</f>
        <v>5</v>
      </c>
    </row>
    <row r="8" customFormat="false" ht="35.05" hidden="false" customHeight="false" outlineLevel="0" collapsed="false">
      <c r="A8" s="2" t="s">
        <v>213</v>
      </c>
      <c r="B8" s="3" t="s">
        <v>396</v>
      </c>
      <c r="C8" s="3" t="s">
        <v>397</v>
      </c>
      <c r="D8" s="3" t="s">
        <v>398</v>
      </c>
      <c r="E8" s="3" t="s">
        <v>399</v>
      </c>
      <c r="F8" s="3" t="s">
        <v>400</v>
      </c>
      <c r="G8" s="3" t="s">
        <v>379</v>
      </c>
      <c r="H8" s="3" t="s">
        <v>367</v>
      </c>
      <c r="I8" s="5" t="n">
        <f aca="false">SUMPRODUCT(--ISNUMBER(SEARCH($A8,Preguntas!$I$2:$I$60)))</f>
        <v>3</v>
      </c>
    </row>
    <row r="9" customFormat="false" ht="23.85" hidden="false" customHeight="false" outlineLevel="0" collapsed="false">
      <c r="A9" s="2" t="s">
        <v>278</v>
      </c>
      <c r="B9" s="3" t="s">
        <v>401</v>
      </c>
      <c r="C9" s="3" t="s">
        <v>402</v>
      </c>
      <c r="D9" s="3" t="s">
        <v>403</v>
      </c>
      <c r="E9" s="3" t="s">
        <v>404</v>
      </c>
      <c r="F9" s="3" t="s">
        <v>405</v>
      </c>
      <c r="G9" s="3" t="s">
        <v>406</v>
      </c>
      <c r="H9" s="3" t="s">
        <v>367</v>
      </c>
      <c r="I9" s="5" t="n">
        <f aca="false">SUMPRODUCT(--ISNUMBER(SEARCH($A9,Preguntas!$I$2:$I$60)))</f>
        <v>1</v>
      </c>
    </row>
    <row r="11" customFormat="false" ht="27.75" hidden="false" customHeight="true" outlineLevel="0" collapsed="false">
      <c r="A11" s="6" t="s">
        <v>407</v>
      </c>
      <c r="B11" s="6"/>
      <c r="C11" s="6"/>
      <c r="D11" s="6"/>
      <c r="E11" s="6"/>
      <c r="F11" s="6"/>
      <c r="G11" s="6"/>
      <c r="H11" s="6"/>
      <c r="I11" s="6"/>
    </row>
  </sheetData>
  <mergeCells count="1">
    <mergeCell ref="A11:I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80"/>
    <col collapsed="false" customWidth="true" hidden="false" outlineLevel="0" max="4" min="4" style="0" width="60"/>
  </cols>
  <sheetData>
    <row r="1" customFormat="false" ht="24" hidden="false" customHeight="true" outlineLevel="0" collapsed="false">
      <c r="A1" s="1" t="s">
        <v>408</v>
      </c>
      <c r="B1" s="1" t="s">
        <v>409</v>
      </c>
      <c r="C1" s="1" t="s">
        <v>410</v>
      </c>
      <c r="D1" s="1" t="s">
        <v>411</v>
      </c>
    </row>
    <row r="2" customFormat="false" ht="23.85" hidden="false" customHeight="false" outlineLevel="0" collapsed="false">
      <c r="A2" s="3" t="s">
        <v>412</v>
      </c>
      <c r="B2" s="2" t="s">
        <v>413</v>
      </c>
      <c r="C2" s="3" t="s">
        <v>414</v>
      </c>
      <c r="D2" s="3" t="s">
        <v>415</v>
      </c>
    </row>
    <row r="3" customFormat="false" ht="23.85" hidden="false" customHeight="false" outlineLevel="0" collapsed="false">
      <c r="A3" s="3" t="s">
        <v>412</v>
      </c>
      <c r="B3" s="2" t="s">
        <v>416</v>
      </c>
      <c r="C3" s="3" t="s">
        <v>417</v>
      </c>
      <c r="D3" s="3" t="s">
        <v>418</v>
      </c>
    </row>
    <row r="4" customFormat="false" ht="15" hidden="false" customHeight="false" outlineLevel="0" collapsed="false">
      <c r="A4" s="3" t="s">
        <v>412</v>
      </c>
      <c r="B4" s="2" t="s">
        <v>419</v>
      </c>
      <c r="C4" s="3" t="s">
        <v>420</v>
      </c>
      <c r="D4" s="3" t="s">
        <v>421</v>
      </c>
    </row>
    <row r="5" customFormat="false" ht="15" hidden="false" customHeight="false" outlineLevel="0" collapsed="false">
      <c r="A5" s="3" t="s">
        <v>412</v>
      </c>
      <c r="B5" s="2" t="s">
        <v>422</v>
      </c>
      <c r="C5" s="3" t="s">
        <v>423</v>
      </c>
      <c r="D5" s="3" t="s">
        <v>424</v>
      </c>
    </row>
    <row r="6" customFormat="false" ht="23.85" hidden="false" customHeight="false" outlineLevel="0" collapsed="false">
      <c r="A6" s="3" t="s">
        <v>412</v>
      </c>
      <c r="B6" s="2" t="s">
        <v>425</v>
      </c>
      <c r="C6" s="3" t="s">
        <v>426</v>
      </c>
      <c r="D6" s="3" t="s">
        <v>427</v>
      </c>
    </row>
    <row r="7" customFormat="false" ht="23.85" hidden="false" customHeight="false" outlineLevel="0" collapsed="false">
      <c r="A7" s="3" t="s">
        <v>428</v>
      </c>
      <c r="B7" s="2" t="s">
        <v>78</v>
      </c>
      <c r="C7" s="3" t="s">
        <v>429</v>
      </c>
      <c r="D7" s="3" t="s">
        <v>430</v>
      </c>
    </row>
    <row r="8" customFormat="false" ht="15" hidden="false" customHeight="false" outlineLevel="0" collapsed="false">
      <c r="A8" s="3" t="s">
        <v>428</v>
      </c>
      <c r="B8" s="2" t="s">
        <v>107</v>
      </c>
      <c r="C8" s="3" t="s">
        <v>431</v>
      </c>
      <c r="D8" s="3" t="s">
        <v>432</v>
      </c>
    </row>
    <row r="9" customFormat="false" ht="15" hidden="false" customHeight="false" outlineLevel="0" collapsed="false">
      <c r="A9" s="3" t="s">
        <v>428</v>
      </c>
      <c r="B9" s="2" t="s">
        <v>151</v>
      </c>
      <c r="C9" s="3" t="s">
        <v>433</v>
      </c>
      <c r="D9" s="3" t="s">
        <v>434</v>
      </c>
    </row>
    <row r="10" customFormat="false" ht="15" hidden="false" customHeight="false" outlineLevel="0" collapsed="false">
      <c r="A10" s="3" t="s">
        <v>428</v>
      </c>
      <c r="B10" s="2" t="s">
        <v>172</v>
      </c>
      <c r="C10" s="3" t="s">
        <v>435</v>
      </c>
      <c r="D10" s="3" t="s">
        <v>436</v>
      </c>
    </row>
    <row r="11" customFormat="false" ht="15" hidden="false" customHeight="false" outlineLevel="0" collapsed="false">
      <c r="A11" s="3" t="s">
        <v>428</v>
      </c>
      <c r="B11" s="2" t="s">
        <v>209</v>
      </c>
      <c r="C11" s="3" t="s">
        <v>437</v>
      </c>
      <c r="D11" s="3" t="s">
        <v>438</v>
      </c>
    </row>
    <row r="12" customFormat="false" ht="23.85" hidden="false" customHeight="false" outlineLevel="0" collapsed="false">
      <c r="A12" s="3" t="s">
        <v>428</v>
      </c>
      <c r="B12" s="2" t="s">
        <v>25</v>
      </c>
      <c r="C12" s="3" t="s">
        <v>439</v>
      </c>
      <c r="D12" s="3" t="s">
        <v>440</v>
      </c>
    </row>
    <row r="13" customFormat="false" ht="15" hidden="false" customHeight="false" outlineLevel="0" collapsed="false">
      <c r="A13" s="3" t="s">
        <v>441</v>
      </c>
      <c r="B13" s="2" t="s">
        <v>41</v>
      </c>
      <c r="C13" s="3" t="s">
        <v>442</v>
      </c>
      <c r="D13" s="3" t="s">
        <v>443</v>
      </c>
    </row>
    <row r="14" customFormat="false" ht="35.05" hidden="false" customHeight="false" outlineLevel="0" collapsed="false">
      <c r="A14" s="3" t="s">
        <v>441</v>
      </c>
      <c r="B14" s="2" t="s">
        <v>444</v>
      </c>
      <c r="C14" s="3" t="s">
        <v>445</v>
      </c>
      <c r="D14" s="3" t="s">
        <v>446</v>
      </c>
    </row>
    <row r="15" customFormat="false" ht="46.25" hidden="false" customHeight="false" outlineLevel="0" collapsed="false">
      <c r="A15" s="3" t="s">
        <v>326</v>
      </c>
      <c r="B15" s="2" t="s">
        <v>447</v>
      </c>
      <c r="C15" s="3" t="s">
        <v>448</v>
      </c>
      <c r="D15" s="3" t="s">
        <v>449</v>
      </c>
    </row>
    <row r="16" customFormat="false" ht="23.85" hidden="false" customHeight="false" outlineLevel="0" collapsed="false">
      <c r="A16" s="3" t="s">
        <v>326</v>
      </c>
      <c r="B16" s="2" t="s">
        <v>450</v>
      </c>
      <c r="C16" s="3" t="s">
        <v>451</v>
      </c>
      <c r="D16" s="3" t="s">
        <v>452</v>
      </c>
    </row>
    <row r="17" customFormat="false" ht="15" hidden="false" customHeight="false" outlineLevel="0" collapsed="false">
      <c r="A17" s="3" t="s">
        <v>326</v>
      </c>
      <c r="B17" s="2" t="s">
        <v>453</v>
      </c>
      <c r="C17" s="3" t="s">
        <v>454</v>
      </c>
      <c r="D17" s="3" t="s">
        <v>455</v>
      </c>
    </row>
    <row r="18" customFormat="false" ht="23.85" hidden="false" customHeight="false" outlineLevel="0" collapsed="false">
      <c r="A18" s="3" t="s">
        <v>456</v>
      </c>
      <c r="B18" s="2" t="s">
        <v>457</v>
      </c>
      <c r="C18" s="3" t="s">
        <v>458</v>
      </c>
      <c r="D18" s="3" t="s">
        <v>459</v>
      </c>
    </row>
    <row r="19" customFormat="false" ht="23.85" hidden="false" customHeight="false" outlineLevel="0" collapsed="false">
      <c r="A19" s="3" t="s">
        <v>456</v>
      </c>
      <c r="B19" s="2" t="s">
        <v>460</v>
      </c>
      <c r="C19" s="3" t="s">
        <v>461</v>
      </c>
      <c r="D19" s="3" t="s">
        <v>462</v>
      </c>
    </row>
    <row r="20" customFormat="false" ht="23.85" hidden="false" customHeight="false" outlineLevel="0" collapsed="false">
      <c r="A20" s="3" t="s">
        <v>456</v>
      </c>
      <c r="B20" s="2" t="s">
        <v>463</v>
      </c>
      <c r="C20" s="3" t="s">
        <v>464</v>
      </c>
      <c r="D20" s="3" t="s">
        <v>465</v>
      </c>
    </row>
    <row r="21" customFormat="false" ht="23.85" hidden="false" customHeight="false" outlineLevel="0" collapsed="false">
      <c r="A21" s="3" t="s">
        <v>456</v>
      </c>
      <c r="B21" s="2" t="s">
        <v>466</v>
      </c>
      <c r="C21" s="3" t="s">
        <v>467</v>
      </c>
      <c r="D21" s="3" t="s">
        <v>468</v>
      </c>
    </row>
  </sheetData>
  <autoFilter ref="A1:D2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70"/>
  </cols>
  <sheetData>
    <row r="1" customFormat="false" ht="17.35" hidden="false" customHeight="false" outlineLevel="0" collapsed="false">
      <c r="A1" s="7" t="s">
        <v>469</v>
      </c>
      <c r="B1" s="7"/>
      <c r="C1" s="7"/>
    </row>
    <row r="3" customFormat="false" ht="15" hidden="false" customHeight="false" outlineLevel="0" collapsed="false">
      <c r="A3" s="8" t="s">
        <v>470</v>
      </c>
    </row>
    <row r="4" customFormat="false" ht="30" hidden="false" customHeight="true" outlineLevel="0" collapsed="false">
      <c r="A4" s="9" t="s">
        <v>471</v>
      </c>
      <c r="B4" s="9"/>
      <c r="C4" s="9"/>
    </row>
    <row r="5" customFormat="false" ht="30" hidden="false" customHeight="true" outlineLevel="0" collapsed="false">
      <c r="A5" s="9" t="s">
        <v>472</v>
      </c>
      <c r="B5" s="9"/>
      <c r="C5" s="9"/>
    </row>
    <row r="6" customFormat="false" ht="30" hidden="false" customHeight="true" outlineLevel="0" collapsed="false">
      <c r="A6" s="9" t="s">
        <v>473</v>
      </c>
      <c r="B6" s="9"/>
      <c r="C6" s="9"/>
    </row>
    <row r="7" customFormat="false" ht="30" hidden="false" customHeight="true" outlineLevel="0" collapsed="false">
      <c r="A7" s="9" t="s">
        <v>474</v>
      </c>
      <c r="B7" s="9"/>
      <c r="C7" s="9"/>
    </row>
    <row r="8" customFormat="false" ht="30" hidden="false" customHeight="true" outlineLevel="0" collapsed="false">
      <c r="A8" s="9" t="s">
        <v>475</v>
      </c>
      <c r="B8" s="9"/>
      <c r="C8" s="9"/>
    </row>
    <row r="9" customFormat="false" ht="30" hidden="false" customHeight="true" outlineLevel="0" collapsed="false">
      <c r="A9" s="9" t="s">
        <v>476</v>
      </c>
      <c r="B9" s="9"/>
      <c r="C9" s="9"/>
    </row>
    <row r="11" customFormat="false" ht="15" hidden="false" customHeight="false" outlineLevel="0" collapsed="false">
      <c r="A11" s="1" t="s">
        <v>477</v>
      </c>
      <c r="B11" s="1" t="s">
        <v>478</v>
      </c>
      <c r="C11" s="1" t="s">
        <v>479</v>
      </c>
    </row>
    <row r="12" customFormat="false" ht="15" hidden="false" customHeight="false" outlineLevel="0" collapsed="false">
      <c r="A12" s="3" t="s">
        <v>480</v>
      </c>
      <c r="B12" s="10" t="n">
        <f aca="false">SUMPRODUCT(--(LEFT(Preguntas!A2:A60,1)="P"))</f>
        <v>30</v>
      </c>
      <c r="C12" s="3" t="s">
        <v>481</v>
      </c>
    </row>
    <row r="13" customFormat="false" ht="15" hidden="false" customHeight="false" outlineLevel="0" collapsed="false">
      <c r="A13" s="3" t="s">
        <v>482</v>
      </c>
      <c r="B13" s="10" t="n">
        <f aca="false">SUMPRODUCT(--(LEFT(Preguntas!A2:A60,1)="N"))</f>
        <v>18</v>
      </c>
      <c r="C13" s="3" t="s">
        <v>483</v>
      </c>
    </row>
    <row r="14" customFormat="false" ht="15" hidden="false" customHeight="false" outlineLevel="0" collapsed="false">
      <c r="A14" s="3" t="s">
        <v>484</v>
      </c>
      <c r="B14" s="10" t="n">
        <f aca="false">COUNTIFS(Preguntas!C2:C60,"Mantener")</f>
        <v>11</v>
      </c>
      <c r="C14" s="3" t="s">
        <v>485</v>
      </c>
    </row>
    <row r="15" customFormat="false" ht="15" hidden="false" customHeight="false" outlineLevel="0" collapsed="false">
      <c r="A15" s="3" t="s">
        <v>486</v>
      </c>
      <c r="B15" s="10" t="n">
        <f aca="false">COUNTIFS(Preguntas!C2:C60,"Cambiar")</f>
        <v>16</v>
      </c>
      <c r="C15" s="3" t="s">
        <v>487</v>
      </c>
    </row>
    <row r="16" customFormat="false" ht="15" hidden="false" customHeight="false" outlineLevel="0" collapsed="false">
      <c r="A16" s="3" t="s">
        <v>488</v>
      </c>
      <c r="B16" s="10" t="n">
        <f aca="false">COUNTIFS(Preguntas!C2:C60,"Quitar")</f>
        <v>3</v>
      </c>
      <c r="C16" s="3" t="s">
        <v>489</v>
      </c>
    </row>
    <row r="17" customFormat="false" ht="15" hidden="false" customHeight="false" outlineLevel="0" collapsed="false">
      <c r="A17" s="3" t="s">
        <v>490</v>
      </c>
      <c r="B17" s="10" t="n">
        <f aca="false">COUNTIFS(Preguntas!C2:C60,"Agregar")</f>
        <v>18</v>
      </c>
      <c r="C17" s="3"/>
    </row>
    <row r="18" customFormat="false" ht="23.85" hidden="false" customHeight="false" outlineLevel="0" collapsed="false">
      <c r="A18" s="11" t="s">
        <v>491</v>
      </c>
      <c r="B18" s="12" t="n">
        <f aca="false">B12-B16+B17</f>
        <v>45</v>
      </c>
      <c r="C18" s="11" t="s">
        <v>492</v>
      </c>
    </row>
    <row r="19" customFormat="false" ht="23.85" hidden="false" customHeight="false" outlineLevel="0" collapsed="false">
      <c r="A19" s="11" t="s">
        <v>493</v>
      </c>
      <c r="B19" s="12" t="n">
        <f aca="false">COUNTIFS(Preguntas!D2:D60,"Alta")</f>
        <v>27</v>
      </c>
      <c r="C19" s="11" t="s">
        <v>494</v>
      </c>
    </row>
    <row r="20" customFormat="false" ht="15" hidden="false" customHeight="false" outlineLevel="0" collapsed="false">
      <c r="A20" s="3" t="s">
        <v>495</v>
      </c>
      <c r="B20" s="10" t="n">
        <f aca="false">COUNTIFS(Preguntas!D2:D60,"Media")</f>
        <v>18</v>
      </c>
      <c r="C20" s="3" t="s">
        <v>496</v>
      </c>
    </row>
    <row r="21" customFormat="false" ht="15" hidden="false" customHeight="false" outlineLevel="0" collapsed="false">
      <c r="A21" s="11" t="s">
        <v>497</v>
      </c>
      <c r="B21" s="12" t="n">
        <f aca="false">B19+B20</f>
        <v>45</v>
      </c>
      <c r="C21" s="11"/>
    </row>
    <row r="22" customFormat="false" ht="15" hidden="false" customHeight="false" outlineLevel="0" collapsed="false">
      <c r="A22" s="3" t="s">
        <v>498</v>
      </c>
      <c r="B22" s="10" t="n">
        <f aca="false">COUNTIFS(Preguntas!D2:D60,"Baja")</f>
        <v>3</v>
      </c>
      <c r="C22" s="3"/>
    </row>
    <row r="23" customFormat="false" ht="15" hidden="false" customHeight="false" outlineLevel="0" collapsed="false">
      <c r="A23" s="3" t="s">
        <v>499</v>
      </c>
      <c r="B23" s="10" t="str">
        <f aca="false">IF(B19+B20+B22=COUNTA(Preguntas!A2:A60),"OK","Revisar")</f>
        <v>OK</v>
      </c>
      <c r="C23" s="3" t="s">
        <v>500</v>
      </c>
    </row>
  </sheetData>
  <mergeCells count="7">
    <mergeCell ref="A1:C1"/>
    <mergeCell ref="A4:C4"/>
    <mergeCell ref="A5:C5"/>
    <mergeCell ref="A6:C6"/>
    <mergeCell ref="A7:C7"/>
    <mergeCell ref="A8:C8"/>
    <mergeCell ref="A9:C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2026-10-06T11:18:58Z</dcterms:created>
  <dc:creator>openpyxl</dc:creator>
  <dc:description/>
  <dc:language>en-US</dc:language>
  <cp:lastModifiedBy/>
  <dcterms:modified xsi:type="dcterms:W3CDTF">2026-10-06T11:18:58Z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